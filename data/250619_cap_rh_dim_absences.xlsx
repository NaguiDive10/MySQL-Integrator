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wprod.ds.aphp.fr\SC1-SAP\DDRH\DAPRH\ODP_RH\Cap_rh\@Cap Rh\cap_rh_dim_absences\"/>
    </mc:Choice>
  </mc:AlternateContent>
  <xr:revisionPtr revIDLastSave="0" documentId="8_{A741C392-E0F0-414F-85FB-3FCB3687173C}" xr6:coauthVersionLast="47" xr6:coauthVersionMax="47" xr10:uidLastSave="{00000000-0000-0000-0000-000000000000}"/>
  <bookViews>
    <workbookView xWindow="28680" yWindow="-120" windowWidth="29040" windowHeight="15720" activeTab="1" xr2:uid="{54152EAA-D1AA-4303-BCB9-F0B1CC2F77FE}"/>
  </bookViews>
  <sheets>
    <sheet name="dim_absences_grp" sheetId="4" r:id="rId1"/>
    <sheet name="dim_absences" sheetId="3" r:id="rId2"/>
  </sheets>
  <definedNames>
    <definedName name="DonnéesExternes_1" localSheetId="1" hidden="1">dim_absences!$A$1:$U$95</definedName>
    <definedName name="DonnéesExternes_1" localSheetId="0" hidden="1">dim_absences_grp!$A$1:$G$19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7DDCD6-4397-4412-A107-497BABD9C2E4}" keepAlive="1" name="Requête - Requête1" description="Connexion à la requête « Requête1 » dans le classeur." type="5" refreshedVersion="8" background="1" saveData="1">
    <dbPr connection="Provider=Microsoft.Mashup.OleDb.1;Data Source=$Workbook$;Location=Requête1;Extended Properties=&quot;&quot;" command="SELECT * FROM [Requête1]"/>
  </connection>
  <connection id="2" xr16:uid="{03305E97-4995-4706-B018-DEB258976BCE}" keepAlive="1" name="Requête - Requête2" description="Connexion à la requête « Requête2 » dans le classeur." type="5" refreshedVersion="8" background="1" saveData="1">
    <dbPr connection="Provider=Microsoft.Mashup.OleDb.1;Data Source=$Workbook$;Location=Requête2;Extended Properties=&quot;&quot;" command="SELECT * FROM [Requête2]"/>
  </connection>
</connections>
</file>

<file path=xl/sharedStrings.xml><?xml version="1.0" encoding="utf-8"?>
<sst xmlns="http://schemas.openxmlformats.org/spreadsheetml/2006/main" count="1640" uniqueCount="359">
  <si>
    <t>CD_MAB</t>
  </si>
  <si>
    <t>LB_MAB</t>
  </si>
  <si>
    <t>LB_MAB_L</t>
  </si>
  <si>
    <t>CD_TYPE_ABS</t>
  </si>
  <si>
    <t>LB_TYPE_ABS</t>
  </si>
  <si>
    <t>CD_PERIM_ABS</t>
  </si>
  <si>
    <t>CD_GRP_ABS</t>
  </si>
  <si>
    <t>LB_GRP_ABS</t>
  </si>
  <si>
    <t>CD_TYPE_ABS_BS</t>
  </si>
  <si>
    <t>LB_TYPE_ABS_BS</t>
  </si>
  <si>
    <t>CD_GRP_ABS_BS</t>
  </si>
  <si>
    <t>LB_GRP_ABS_BS</t>
  </si>
  <si>
    <t>LB_STAT_ABS</t>
  </si>
  <si>
    <t>CD_GRP_ABS_BW</t>
  </si>
  <si>
    <t>LB_GRP_ABS_BW</t>
  </si>
  <si>
    <t>CD_GRP_ABS_ECM</t>
  </si>
  <si>
    <t>MIN_CD_PER</t>
  </si>
  <si>
    <t>MAX_CD_PER</t>
  </si>
  <si>
    <t>SUM_ETP_ABS_REP</t>
  </si>
  <si>
    <t>DT_MAJ</t>
  </si>
  <si>
    <t>INVAL INF GUERRE</t>
  </si>
  <si>
    <t>CONGE D'INVALIDITE POUR INFIRMITE DE GUERRE</t>
  </si>
  <si>
    <t>M</t>
  </si>
  <si>
    <t>Médical</t>
  </si>
  <si>
    <t>O</t>
  </si>
  <si>
    <t>MAL</t>
  </si>
  <si>
    <t>Maladie</t>
  </si>
  <si>
    <t>Maladie ordinaire</t>
  </si>
  <si>
    <t>A</t>
  </si>
  <si>
    <t>ASTREINTE INTERNE</t>
  </si>
  <si>
    <t>N</t>
  </si>
  <si>
    <t>Non-médical</t>
  </si>
  <si>
    <t>AST</t>
  </si>
  <si>
    <t>Astreinte</t>
  </si>
  <si>
    <t>X</t>
  </si>
  <si>
    <t>Exclu</t>
  </si>
  <si>
    <t>ASTREINTES</t>
  </si>
  <si>
    <t>Autre</t>
  </si>
  <si>
    <t>AUTRE</t>
  </si>
  <si>
    <t>AC</t>
  </si>
  <si>
    <t>ACCOMP FIN DE VIE</t>
  </si>
  <si>
    <t>CONGE D'ACCOMPAGNEMENT FIN DE VIE</t>
  </si>
  <si>
    <t>CF</t>
  </si>
  <si>
    <t>Congés motif familial</t>
  </si>
  <si>
    <t>AD</t>
  </si>
  <si>
    <t>CONGE D'ADOPTION</t>
  </si>
  <si>
    <t>Congés d'adoption</t>
  </si>
  <si>
    <t>Maternité, paternité, adoption</t>
  </si>
  <si>
    <t>MAT</t>
  </si>
  <si>
    <t>AF</t>
  </si>
  <si>
    <t>ASTREINTE FORFAIT</t>
  </si>
  <si>
    <t>ASTREINTE FORFAITEE</t>
  </si>
  <si>
    <t>AI</t>
  </si>
  <si>
    <t>ABS IRREG</t>
  </si>
  <si>
    <t>ABSENCE IRREGULIERE</t>
  </si>
  <si>
    <t>Absences irrégulières</t>
  </si>
  <si>
    <t>AL</t>
  </si>
  <si>
    <t>ACTIVITE LIBERALE</t>
  </si>
  <si>
    <t>DIV</t>
  </si>
  <si>
    <t>Divers</t>
  </si>
  <si>
    <t>AO</t>
  </si>
  <si>
    <t>AST. OPERATIONNELL</t>
  </si>
  <si>
    <t>ASTREINTE OPERATIONNELLE</t>
  </si>
  <si>
    <t>AP</t>
  </si>
  <si>
    <t>ACTI. PEDAGOGIQUE</t>
  </si>
  <si>
    <t>ACTIVITE PEDAGOGIQUE</t>
  </si>
  <si>
    <t>FOR</t>
  </si>
  <si>
    <t>Formation pro</t>
  </si>
  <si>
    <t>AUTRES ACTIVITES</t>
  </si>
  <si>
    <t>AR</t>
  </si>
  <si>
    <t>ABS A REGULARISER</t>
  </si>
  <si>
    <t>ABSENCE A REGULARISER</t>
  </si>
  <si>
    <t>Absences à régulariser</t>
  </si>
  <si>
    <t>AS</t>
  </si>
  <si>
    <t>ASTREINTE SECURITE</t>
  </si>
  <si>
    <t>ASTREINTE DE SECURITE</t>
  </si>
  <si>
    <t>AT</t>
  </si>
  <si>
    <t>ACCIDENT TRAVAIL</t>
  </si>
  <si>
    <t>ACCIDENT DE TRAVAIL</t>
  </si>
  <si>
    <t>Accident de travail</t>
  </si>
  <si>
    <t>Accident de travail / accident de trajet</t>
  </si>
  <si>
    <t>AT_MP</t>
  </si>
  <si>
    <t>BA</t>
  </si>
  <si>
    <t>CGE BONIF ANT-GUY</t>
  </si>
  <si>
    <t>CONGE BONIFIE ANTILLES-GUYANNE</t>
  </si>
  <si>
    <t>CON</t>
  </si>
  <si>
    <t>Congés bonifiés</t>
  </si>
  <si>
    <t>CONGE BONIFIE</t>
  </si>
  <si>
    <t>BM</t>
  </si>
  <si>
    <t>CGE BONIF MAYOTTE</t>
  </si>
  <si>
    <t>CONGE BONIFIE MAYOTTE</t>
  </si>
  <si>
    <t>BR</t>
  </si>
  <si>
    <t>CGE BONIF REUNION</t>
  </si>
  <si>
    <t>CONGE BONIFIE REUNION</t>
  </si>
  <si>
    <t>CA</t>
  </si>
  <si>
    <t>CONGE ANNUEL</t>
  </si>
  <si>
    <t>CB</t>
  </si>
  <si>
    <t>CC</t>
  </si>
  <si>
    <t>CAMPAGNE ELECT</t>
  </si>
  <si>
    <t>CONGE CAMPAGNE ELECTORALE</t>
  </si>
  <si>
    <t>AUTRES CONGES</t>
  </si>
  <si>
    <t>CONGE FORM REM</t>
  </si>
  <si>
    <t>CONGE FORMATION REMUNERE</t>
  </si>
  <si>
    <t>CONGE FORMATION</t>
  </si>
  <si>
    <t>CG</t>
  </si>
  <si>
    <t>CONGRES COLLOQUES</t>
  </si>
  <si>
    <t>ABSENCE CONGRES/COLLOQUES SCIENTIFIQUES</t>
  </si>
  <si>
    <t>AUTRES ABSENCES</t>
  </si>
  <si>
    <t>CJ</t>
  </si>
  <si>
    <t>FORM CAD ANIM JEUN</t>
  </si>
  <si>
    <t>CONGE DE FORM. CADRES ANIMATEURS LA JEUNESSE</t>
  </si>
  <si>
    <t>CM</t>
  </si>
  <si>
    <t>MALADIE ORDINAIRE</t>
  </si>
  <si>
    <t>CN</t>
  </si>
  <si>
    <t>CONGE FORM NON REM</t>
  </si>
  <si>
    <t>CONGE FORMATION NON REMUNERE</t>
  </si>
  <si>
    <t>CO</t>
  </si>
  <si>
    <t>CONCOURS</t>
  </si>
  <si>
    <t>JOURNEE DE CONCOURS</t>
  </si>
  <si>
    <t>CP</t>
  </si>
  <si>
    <t>PRES PARENTALE</t>
  </si>
  <si>
    <t>CONGE DE PRESENCE PARENTALE</t>
  </si>
  <si>
    <t>CONGE PRESENCE PARENTALE</t>
  </si>
  <si>
    <t>CS</t>
  </si>
  <si>
    <t>CONGE SANS REM</t>
  </si>
  <si>
    <t>CONGE SANS REMUNERATION</t>
  </si>
  <si>
    <t>CT</t>
  </si>
  <si>
    <t>CPTE EPARGNE TPS</t>
  </si>
  <si>
    <t>COMPTE EPARGNE TEMPS</t>
  </si>
  <si>
    <t>DS</t>
  </si>
  <si>
    <t>DONS SANG OU MOELL</t>
  </si>
  <si>
    <t>JOURNEES DE DONNEUR DE SANG</t>
  </si>
  <si>
    <t>EC</t>
  </si>
  <si>
    <t>EVICTION COVID</t>
  </si>
  <si>
    <t>EF</t>
  </si>
  <si>
    <t>EVENEMENT FAMILIAL</t>
  </si>
  <si>
    <t>EM</t>
  </si>
  <si>
    <t>ENFANTS MALADES</t>
  </si>
  <si>
    <t>ER</t>
  </si>
  <si>
    <t>ENSEIGN. ET RECH.</t>
  </si>
  <si>
    <t>ENSEIGNEMENT ET RECHERCHE</t>
  </si>
  <si>
    <t>ET</t>
  </si>
  <si>
    <t>EXCL TEMPORAIRE</t>
  </si>
  <si>
    <t>EXCLUSION TEMPORAIRE</t>
  </si>
  <si>
    <t>SUS</t>
  </si>
  <si>
    <t>Suspension</t>
  </si>
  <si>
    <t>FO</t>
  </si>
  <si>
    <t>FORMATION CONTINUE</t>
  </si>
  <si>
    <t>FORMATION PROFESSIONNELLE</t>
  </si>
  <si>
    <t>FS</t>
  </si>
  <si>
    <t>FORMATION SYNDIC</t>
  </si>
  <si>
    <t>STAGE DE FORMATION SYNDICALE</t>
  </si>
  <si>
    <t>SYN</t>
  </si>
  <si>
    <t>Absences syndicales</t>
  </si>
  <si>
    <t>ACTIVITE SYNDICALE</t>
  </si>
  <si>
    <t>G</t>
  </si>
  <si>
    <t>GARDE</t>
  </si>
  <si>
    <t>GM</t>
  </si>
  <si>
    <t>GRAVE MALADIE</t>
  </si>
  <si>
    <t>CONGE GRAVE MALADIE</t>
  </si>
  <si>
    <t>CLM</t>
  </si>
  <si>
    <t>Congés longue maladie</t>
  </si>
  <si>
    <t>CONGE LONGUE MALADIE</t>
  </si>
  <si>
    <t>Maladie longue durée</t>
  </si>
  <si>
    <t>GP</t>
  </si>
  <si>
    <t>GROSSESSE PATHO</t>
  </si>
  <si>
    <t>GROSSESSE PATHOLOGIQUE</t>
  </si>
  <si>
    <t>GPP</t>
  </si>
  <si>
    <t>ACTIVITE INDEM TA</t>
  </si>
  <si>
    <t>GPT</t>
  </si>
  <si>
    <t>PRESENCE À TORT</t>
  </si>
  <si>
    <t>PRESENCE A TORT</t>
  </si>
  <si>
    <t>GR</t>
  </si>
  <si>
    <t>SERV NON FAIT</t>
  </si>
  <si>
    <t>SERVICE NON FAIT</t>
  </si>
  <si>
    <t>GREVE</t>
  </si>
  <si>
    <t>HD</t>
  </si>
  <si>
    <t>CM HORS DELAI</t>
  </si>
  <si>
    <t>ARRET MALADIE HORS DELAI</t>
  </si>
  <si>
    <t>JA</t>
  </si>
  <si>
    <t>JURY ET AUDITION</t>
  </si>
  <si>
    <t>JURY COUR D'ASSISES</t>
  </si>
  <si>
    <t>JC</t>
  </si>
  <si>
    <t>JOURNEE CITOYENNE</t>
  </si>
  <si>
    <t>JS</t>
  </si>
  <si>
    <t>JOUR FERIE</t>
  </si>
  <si>
    <t>L1</t>
  </si>
  <si>
    <t>CLD - 1ERE AFFECT</t>
  </si>
  <si>
    <t>CONGE LONGUE DUREE - 1ERE AFFECTION</t>
  </si>
  <si>
    <t>CLD</t>
  </si>
  <si>
    <t>Congés longues durées</t>
  </si>
  <si>
    <t>CONGE LONGUE DUREE</t>
  </si>
  <si>
    <t>L2</t>
  </si>
  <si>
    <t>CLD - 2EME AFFECT</t>
  </si>
  <si>
    <t>CONGE LONGUE DUREE - 2EME AFFECTION</t>
  </si>
  <si>
    <t>L3</t>
  </si>
  <si>
    <t>CLD - 3EME AFFECT</t>
  </si>
  <si>
    <t>CONGE LONGUE DUREE - 3EME AFFECTION</t>
  </si>
  <si>
    <t>L4</t>
  </si>
  <si>
    <t>CLD - 4EME AFFECT</t>
  </si>
  <si>
    <t>CONGE LONGUE DUREE - 4EME AFFECTION</t>
  </si>
  <si>
    <t>L5</t>
  </si>
  <si>
    <t>CLD - 5EME AFFECT</t>
  </si>
  <si>
    <t>CONGE LONGUE DUREE - 5EME AFFECTION</t>
  </si>
  <si>
    <t>LD</t>
  </si>
  <si>
    <t>LM</t>
  </si>
  <si>
    <t>LONGUE MALADIE</t>
  </si>
  <si>
    <t>M1</t>
  </si>
  <si>
    <t>DISPO OFF INVGRP 1</t>
  </si>
  <si>
    <t>DISPONIBILITE D'OFFICE INVALIDITE GRP 1</t>
  </si>
  <si>
    <t>DM2</t>
  </si>
  <si>
    <t>M2</t>
  </si>
  <si>
    <t>DISPO OFF INVGRP 2</t>
  </si>
  <si>
    <t>DISPONIBILITE D'OFFICE INVALIDITE GRP 2</t>
  </si>
  <si>
    <t>M3</t>
  </si>
  <si>
    <t>DISPO OFF INVGRP 3</t>
  </si>
  <si>
    <t>DISPONIBILITE D'OFFICE INVALIDITE GRP 3</t>
  </si>
  <si>
    <t>MA</t>
  </si>
  <si>
    <t>CONGE DE MATERNITE</t>
  </si>
  <si>
    <t>Maternité</t>
  </si>
  <si>
    <t>CONGE MATERNITE</t>
  </si>
  <si>
    <t>MC</t>
  </si>
  <si>
    <t>MALADIE EN SERVICE</t>
  </si>
  <si>
    <t>MALADIE CONTRACTEE EN SERVICE</t>
  </si>
  <si>
    <t>PRO</t>
  </si>
  <si>
    <t>Maladies pro</t>
  </si>
  <si>
    <t>MC MP</t>
  </si>
  <si>
    <t>Maladie en service</t>
  </si>
  <si>
    <t>MD</t>
  </si>
  <si>
    <t>MATERNITE PDT DISP</t>
  </si>
  <si>
    <t>MATERNITE PENDANT DISPONIBILITE</t>
  </si>
  <si>
    <t>MATD</t>
  </si>
  <si>
    <t>Maternité pendant disponibilit</t>
  </si>
  <si>
    <t>ME</t>
  </si>
  <si>
    <t>MEDAILLE</t>
  </si>
  <si>
    <t>MH</t>
  </si>
  <si>
    <t>MISSION HUMANIT</t>
  </si>
  <si>
    <t>MISSION HUMANITAIRE</t>
  </si>
  <si>
    <t>MN</t>
  </si>
  <si>
    <t>FONCT.ELECT.NON.RE</t>
  </si>
  <si>
    <t>MISSION TEMPORAIRE NON REMUNEREE</t>
  </si>
  <si>
    <t>AUTRES MISSIONS</t>
  </si>
  <si>
    <t>MP</t>
  </si>
  <si>
    <t>MALADIE PRO</t>
  </si>
  <si>
    <t>MALADIE PROFESSIONNELLE</t>
  </si>
  <si>
    <t>Maladie professionnelle</t>
  </si>
  <si>
    <t>MR</t>
  </si>
  <si>
    <t>MIS. TEMP. REM</t>
  </si>
  <si>
    <t>MISSSION TEMPORAIRE REMUNEREE</t>
  </si>
  <si>
    <t>MS</t>
  </si>
  <si>
    <t>MAT SS SOLDE</t>
  </si>
  <si>
    <t>MATERNITE SANS SOLDE</t>
  </si>
  <si>
    <t>MT</t>
  </si>
  <si>
    <t>MEDECINE TRAVAIL</t>
  </si>
  <si>
    <t>MEDECINE DU TRAVAIL</t>
  </si>
  <si>
    <t>Médecine du travail</t>
  </si>
  <si>
    <t>OS</t>
  </si>
  <si>
    <t>SERV INCOM PRAT AT</t>
  </si>
  <si>
    <t>OBLIGATIONS SERVICE INCOMPLETES PRAT.AT</t>
  </si>
  <si>
    <t>DIVERS</t>
  </si>
  <si>
    <t>P</t>
  </si>
  <si>
    <t>PRESENCE</t>
  </si>
  <si>
    <t>PA</t>
  </si>
  <si>
    <t>CGE PRO AIDANT</t>
  </si>
  <si>
    <t>PF</t>
  </si>
  <si>
    <t>CP FORMATION</t>
  </si>
  <si>
    <t>COMPTE PERSONNEL DE FORMATION</t>
  </si>
  <si>
    <t>TEMPS DE REVISION AVANT UN CONCOURS</t>
  </si>
  <si>
    <t>PM</t>
  </si>
  <si>
    <t>PER MILIT REM</t>
  </si>
  <si>
    <t>PERIODE MILITAIRE REMUNEREE</t>
  </si>
  <si>
    <t>PERIODE MILITAIRE</t>
  </si>
  <si>
    <t>PP</t>
  </si>
  <si>
    <t>POSIT PROV 50</t>
  </si>
  <si>
    <t>POSITION PROVISOIRE 50</t>
  </si>
  <si>
    <t>PR</t>
  </si>
  <si>
    <t>CONGE PATERNITE</t>
  </si>
  <si>
    <t>PS</t>
  </si>
  <si>
    <t>PERMANENCE DE SOIN</t>
  </si>
  <si>
    <t>Permanence de soin</t>
  </si>
  <si>
    <t>RA</t>
  </si>
  <si>
    <t>RECUP ASTREINTE</t>
  </si>
  <si>
    <t>RECUPERATION D'ASTREINTE</t>
  </si>
  <si>
    <t>RE</t>
  </si>
  <si>
    <t>RELATION EXT</t>
  </si>
  <si>
    <t>RELATION EXTERIEURE</t>
  </si>
  <si>
    <t>RG</t>
  </si>
  <si>
    <t>RECUP. GARDE</t>
  </si>
  <si>
    <t>RECUPERATION DE GARDE</t>
  </si>
  <si>
    <t>AUTRES RECUPERATIONS</t>
  </si>
  <si>
    <t>RH</t>
  </si>
  <si>
    <t>REPOS HEBDOMADAIRE</t>
  </si>
  <si>
    <t>RM</t>
  </si>
  <si>
    <t>REPOR MAT CONJOINT</t>
  </si>
  <si>
    <t>REPORT DU CONGE MATERNITE SUR LE CONJOINT</t>
  </si>
  <si>
    <t>RP</t>
  </si>
  <si>
    <t>RECUP. PERM. SOINS</t>
  </si>
  <si>
    <t>RECUPERATION DE PERMANENCE DE SOINS</t>
  </si>
  <si>
    <t>RQ</t>
  </si>
  <si>
    <t>REPOS QUOTIDIEN</t>
  </si>
  <si>
    <t>RS</t>
  </si>
  <si>
    <t>REPOS DE SECURITE</t>
  </si>
  <si>
    <t>RT</t>
  </si>
  <si>
    <t>JOURS R.T.T</t>
  </si>
  <si>
    <t>SA</t>
  </si>
  <si>
    <t>CONGE SPE CADRE A</t>
  </si>
  <si>
    <t>CONGE SPECIAL POUR LES CADRE A</t>
  </si>
  <si>
    <t>SE</t>
  </si>
  <si>
    <t>SUSP SOLDE ENT</t>
  </si>
  <si>
    <t>SUSPENSION SOLDE ENTIERE</t>
  </si>
  <si>
    <t>SUSPENSION</t>
  </si>
  <si>
    <t>SF</t>
  </si>
  <si>
    <t>SUSP FONCT TT TAUX</t>
  </si>
  <si>
    <t>SUSPENSION FONCTION TOUT TAUX</t>
  </si>
  <si>
    <t>SI</t>
  </si>
  <si>
    <t>SUITE ABS INJ</t>
  </si>
  <si>
    <t>SUITE ABSENCE INJUSTIFIEE</t>
  </si>
  <si>
    <t>SO</t>
  </si>
  <si>
    <t>CGE SOL FAMIL</t>
  </si>
  <si>
    <t>CONGE DE SOLIDARITE FAMILIALE</t>
  </si>
  <si>
    <t>SS</t>
  </si>
  <si>
    <t>SUSP SANS SOLDE</t>
  </si>
  <si>
    <t>SUSPENSION SANS SOLDE</t>
  </si>
  <si>
    <t>ST</t>
  </si>
  <si>
    <t>SUSP TOUT TAUX</t>
  </si>
  <si>
    <t>SUSPENSION TOUT TAUX</t>
  </si>
  <si>
    <t>SV</t>
  </si>
  <si>
    <t>SUSP VACCINATION</t>
  </si>
  <si>
    <t>SY</t>
  </si>
  <si>
    <t>DELEGATION SYNDICALE</t>
  </si>
  <si>
    <t>TA</t>
  </si>
  <si>
    <t>RECUP. TA</t>
  </si>
  <si>
    <t>RECUPERATION TEMPS ADDITIONNEL</t>
  </si>
  <si>
    <t>TI</t>
  </si>
  <si>
    <t>DEMI-TRAIT INVALID</t>
  </si>
  <si>
    <t>DEMI-TRAITEMENT INVALIDITE</t>
  </si>
  <si>
    <t>ZZ</t>
  </si>
  <si>
    <t>REPRISE</t>
  </si>
  <si>
    <t>41</t>
  </si>
  <si>
    <t>1</t>
  </si>
  <si>
    <t>7</t>
  </si>
  <si>
    <t>5</t>
  </si>
  <si>
    <t>3</t>
  </si>
  <si>
    <t>2</t>
  </si>
  <si>
    <t>6</t>
  </si>
  <si>
    <t>4</t>
  </si>
  <si>
    <t>CD_TYPE_GRP_ABS</t>
  </si>
  <si>
    <t>LB_TYPE_GRP_ABS</t>
  </si>
  <si>
    <t>CD_PERIM_GRP_ABS</t>
  </si>
  <si>
    <t>ADO</t>
  </si>
  <si>
    <t>AIR</t>
  </si>
  <si>
    <r>
      <t>ARE</t>
    </r>
    <r>
      <rPr>
        <sz val="11"/>
        <color rgb="FF374151"/>
        <rFont val="Arial"/>
        <family val="2"/>
      </rPr>
      <t> </t>
    </r>
  </si>
  <si>
    <t>ACT</t>
  </si>
  <si>
    <t>CMF</t>
  </si>
  <si>
    <t>CBO</t>
  </si>
  <si>
    <t>MED</t>
  </si>
  <si>
    <t>MAP</t>
  </si>
  <si>
    <t>CD_GRP_ABS_3_CAR</t>
  </si>
  <si>
    <t>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</si>
</sst>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Calibri"/>
      <family val="2"/>
    </font>
    <font>
      <sz val="8"/>
      <color rgb="FFFF0000"/>
      <name val="Calibri"/>
      <family val="2"/>
    </font>
    <font>
      <sz val="11"/>
      <color rgb="FF374151"/>
      <name val="Arial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/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left" vertical="top" wrapText="1"/>
    </xf>
    <xf numFmtId="0" fontId="1" fillId="2" borderId="0" xfId="0" applyFont="1" applyFill="1"/>
    <xf numFmtId="0" fontId="0" fillId="2" borderId="0" xfId="0" applyFill="1"/>
    <xf numFmtId="0" fontId="1" fillId="2" borderId="0" xfId="0" applyNumberFormat="1" applyFont="1" applyFill="1" applyAlignment="1">
      <alignment horizontal="center"/>
    </xf>
    <xf numFmtId="0" fontId="0" fillId="2" borderId="0" xfId="0" applyNumberFormat="1" applyFill="1" applyAlignment="1">
      <alignment horizontal="center"/>
    </xf>
    <xf numFmtId="0" fontId="0" fillId="0" borderId="0" xfId="0" applyNumberFormat="1" applyAlignment="1">
      <alignment vertical="center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0">
    <dxf>
      <alignment vertical="top" textRotation="0" wrapText="1" indent="0" justifyLastLine="0" shrinkToFit="0" readingOrder="0"/>
    </dxf>
    <dxf>
      <alignment vertical="center" textRotation="0" indent="0" justifyLastLine="0" shrinkToFit="0" readingOrder="0"/>
    </dxf>
    <dxf>
      <numFmt numFmtId="19" formatCode="dd/mm/yyyy"/>
      <alignment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fill>
        <patternFill patternType="solid">
          <fgColor indexed="64"/>
          <bgColor rgb="FFFFFF00"/>
        </patternFill>
      </fill>
      <alignment horizontal="center" textRotation="0" indent="0" justifyLastLine="0" shrinkToFit="0" readingOrder="0"/>
    </dxf>
    <dxf>
      <numFmt numFmtId="0" formatCode="General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center" textRotation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textRotation="0" indent="0" justifyLastLine="0" shrinkToFit="0" readingOrder="0"/>
    </dxf>
    <dxf>
      <numFmt numFmtId="0" formatCode="General"/>
    </dxf>
    <dxf>
      <numFmt numFmtId="0" formatCode="General"/>
      <alignment horizontal="center" textRotation="0" indent="0" justifyLastLine="0" shrinkToFit="0" readingOrder="0"/>
    </dxf>
    <dxf>
      <numFmt numFmtId="0" formatCode="General"/>
    </dxf>
    <dxf>
      <numFmt numFmtId="0" formatCode="General"/>
      <alignment horizontal="center" textRotation="0" indent="0" justifyLastLine="0" shrinkToFit="0" readingOrder="0"/>
    </dxf>
    <dxf>
      <alignment vertical="top" textRotation="0" wrapText="1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A0253A35-9F3D-4987-815D-3D25B4A2C8E3}" autoFormatId="16" applyNumberFormats="0" applyBorderFormats="0" applyFontFormats="0" applyPatternFormats="0" applyAlignmentFormats="0" applyWidthHeightFormats="0">
  <queryTableRefresh nextId="8">
    <queryTableFields count="7">
      <queryTableField id="1" name="CD_GRP_ABS" tableColumnId="1"/>
      <queryTableField id="7" dataBound="0" tableColumnId="7"/>
      <queryTableField id="2" name="LB_GRP_ABS" tableColumnId="2"/>
      <queryTableField id="3" name="CD_TYPE_GRP_ABS" tableColumnId="3"/>
      <queryTableField id="4" name="LB_TYPE_GRP_ABS" tableColumnId="4"/>
      <queryTableField id="5" name="CD_PERIM_GRP_ABS" tableColumnId="5"/>
      <queryTableField id="6" name="DT_MAJ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61B4588-F61E-461D-8B2A-BB5F37C55705}" autoFormatId="16" applyNumberFormats="0" applyBorderFormats="0" applyFontFormats="0" applyPatternFormats="0" applyAlignmentFormats="0" applyWidthHeightFormats="0">
  <queryTableRefresh nextId="25">
    <queryTableFields count="21">
      <queryTableField id="1" name="CD_MAB" tableColumnId="1"/>
      <queryTableField id="2" name="LB_MAB" tableColumnId="2"/>
      <queryTableField id="3" name="LB_MAB_L" tableColumnId="3"/>
      <queryTableField id="17" name="MIN_CD_PER" tableColumnId="17"/>
      <queryTableField id="18" name="MAX_CD_PER" tableColumnId="18"/>
      <queryTableField id="19" name="SUM_ETP_ABS_REP" tableColumnId="19"/>
      <queryTableField id="4" name="CD_TYPE_ABS" tableColumnId="4"/>
      <queryTableField id="5" name="LB_TYPE_ABS" tableColumnId="5"/>
      <queryTableField id="6" name="CD_PERIM_ABS" tableColumnId="6"/>
      <queryTableField id="7" name="CD_GRP_ABS" tableColumnId="7"/>
      <queryTableField id="21" dataBound="0" tableColumnId="21"/>
      <queryTableField id="8" name="LB_GRP_ABS" tableColumnId="8"/>
      <queryTableField id="9" name="CD_TYPE_ABS_BS" tableColumnId="9"/>
      <queryTableField id="10" name="LB_TYPE_ABS_BS" tableColumnId="10"/>
      <queryTableField id="11" name="CD_GRP_ABS_BS" tableColumnId="11"/>
      <queryTableField id="12" name="LB_GRP_ABS_BS" tableColumnId="12"/>
      <queryTableField id="13" name="LB_STAT_ABS" tableColumnId="13"/>
      <queryTableField id="14" name="CD_GRP_ABS_BW" tableColumnId="14"/>
      <queryTableField id="15" name="LB_GRP_ABS_BW" tableColumnId="15"/>
      <queryTableField id="16" name="CD_GRP_ABS_ECM" tableColumnId="16"/>
      <queryTableField id="20" name="DT_MAJ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D09EDA-750C-4F82-8693-F02ACED2EE6D}" name="Requête2" displayName="Requête2" ref="A1:G19" tableType="queryTable" totalsRowShown="0" headerRowDxfId="0" dataDxfId="1">
  <tableColumns count="7">
    <tableColumn id="1" xr3:uid="{232F8A30-9265-455A-8E1B-8F9541475536}" uniqueName="1" name="CD_GRP_ABS" queryTableFieldId="1" dataDxfId="8"/>
    <tableColumn id="7" xr3:uid="{43F92512-F88F-4E6E-A76A-F6E6AD04D0F2}" uniqueName="7" name="CD_GRP_ABS_3_CAR" queryTableFieldId="7" dataDxfId="7"/>
    <tableColumn id="2" xr3:uid="{CB9CA222-44D9-4C6D-A1DC-79C4D67EE91B}" uniqueName="2" name="LB_GRP_ABS" queryTableFieldId="2" dataDxfId="6"/>
    <tableColumn id="3" xr3:uid="{64817D74-7351-4B2D-B6F3-73B21D5EC73E}" uniqueName="3" name="CD_TYPE_GRP_ABS" queryTableFieldId="3" dataDxfId="5"/>
    <tableColumn id="4" xr3:uid="{C451794C-B3E9-42C8-917B-D709408507AB}" uniqueName="4" name="LB_TYPE_GRP_ABS" queryTableFieldId="4" dataDxfId="4"/>
    <tableColumn id="5" xr3:uid="{D4C391F9-38D7-4A7D-86F3-EBE99614A269}" uniqueName="5" name="CD_PERIM_GRP_ABS" queryTableFieldId="5" dataDxfId="3"/>
    <tableColumn id="6" xr3:uid="{0CBE9EA7-29EE-4E9A-9553-48D762812CC0}" uniqueName="6" name="DT_MAJ" queryTableFieldId="6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16E0BC-E357-4026-AA46-894632D4FC33}" name="Requête1" displayName="Requête1" ref="A1:U95" tableType="queryTable" totalsRowShown="0" headerRowDxfId="24">
  <autoFilter ref="A1:U95" xr:uid="{C316E0BC-E357-4026-AA46-894632D4FC33}"/>
  <tableColumns count="21">
    <tableColumn id="1" xr3:uid="{B551AFEE-0F3A-4966-B3F0-60C2F9979E1A}" uniqueName="1" name="CD_MAB" queryTableFieldId="1" dataDxfId="19"/>
    <tableColumn id="2" xr3:uid="{ED0C180D-53E6-40F7-B96C-8F13E2EA6A68}" uniqueName="2" name="LB_MAB" queryTableFieldId="2" dataDxfId="20"/>
    <tableColumn id="3" xr3:uid="{C124572D-4BFA-41D9-9EFB-02CCE4BF976A}" uniqueName="3" name="LB_MAB_L" queryTableFieldId="3" dataDxfId="22"/>
    <tableColumn id="17" xr3:uid="{B8C4590C-56FA-48B6-9B41-D62D102D6F2A}" uniqueName="17" name="MIN_CD_PER" queryTableFieldId="17" dataDxfId="17"/>
    <tableColumn id="18" xr3:uid="{67737723-AD52-44B3-84E9-F8D6365ED61B}" uniqueName="18" name="MAX_CD_PER" queryTableFieldId="18" dataDxfId="16"/>
    <tableColumn id="19" xr3:uid="{D020DD9F-ECDE-4DF5-8C25-34009FE86B01}" uniqueName="19" name="SUM_ETP_ABS_REP" queryTableFieldId="19"/>
    <tableColumn id="4" xr3:uid="{5DBB0587-F059-40D9-8CBF-C68DF60632A1}" uniqueName="4" name="CD_TYPE_ABS" queryTableFieldId="4" dataDxfId="21"/>
    <tableColumn id="5" xr3:uid="{4512691B-D6C2-40E4-8485-EE5DE88905DB}" uniqueName="5" name="LB_TYPE_ABS" queryTableFieldId="5" dataDxfId="18"/>
    <tableColumn id="6" xr3:uid="{86E5FDB7-75B1-4AC3-9FF8-A8AEB357323A}" uniqueName="6" name="CD_PERIM_ABS" queryTableFieldId="6" dataDxfId="15"/>
    <tableColumn id="7" xr3:uid="{0DC59432-5BB5-4F55-A030-00E2CFD01A1B}" uniqueName="7" name="CD_GRP_ABS" queryTableFieldId="7" dataDxfId="11"/>
    <tableColumn id="21" xr3:uid="{15379D5C-7D8C-422E-A105-4A3C4BB3A12E}" uniqueName="21" name="CD_GRP_ABS_3_CAR" queryTableFieldId="21" dataDxfId="9">
      <calculatedColumnFormula>VLOOKUP(Requête1[[#This Row],[CD_GRP_ABS]],dim_absences_grp!A:B,2,0)</calculatedColumnFormula>
    </tableColumn>
    <tableColumn id="8" xr3:uid="{878BDD13-27D6-4745-8C8E-BB7EAADD59F8}" uniqueName="8" name="LB_GRP_ABS" queryTableFieldId="8" dataDxfId="10"/>
    <tableColumn id="9" xr3:uid="{4A30EAAD-0D16-487F-B749-1026F49D0AE1}" uniqueName="9" name="CD_TYPE_ABS_BS" queryTableFieldId="9" dataDxfId="23"/>
    <tableColumn id="10" xr3:uid="{48B5FE5E-C6F7-4C43-83B6-73E7B48C4058}" uniqueName="10" name="LB_TYPE_ABS_BS" queryTableFieldId="10" dataDxfId="14"/>
    <tableColumn id="11" xr3:uid="{B6768A27-F651-4BB0-87BC-1948F038AE49}" uniqueName="11" name="CD_GRP_ABS_BS" queryTableFieldId="11" dataDxfId="12"/>
    <tableColumn id="12" xr3:uid="{1AEB1823-BF91-4148-B204-9738F2F39BDE}" uniqueName="12" name="LB_GRP_ABS_BS" queryTableFieldId="12" dataDxfId="13"/>
    <tableColumn id="13" xr3:uid="{10A40881-C22C-450C-9A4C-AD8D83D1E8BA}" uniqueName="13" name="LB_STAT_ABS" queryTableFieldId="13" dataDxfId="27"/>
    <tableColumn id="14" xr3:uid="{F35963F3-28A6-459E-9A6F-47EA14746920}" uniqueName="14" name="CD_GRP_ABS_BW" queryTableFieldId="14" dataDxfId="25"/>
    <tableColumn id="15" xr3:uid="{71BD47BF-3B6F-4E4C-87A0-3944183636FD}" uniqueName="15" name="LB_GRP_ABS_BW" queryTableFieldId="15" dataDxfId="26"/>
    <tableColumn id="16" xr3:uid="{43671C5E-85AB-4879-965E-E532339EACCB}" uniqueName="16" name="CD_GRP_ABS_ECM" queryTableFieldId="16" dataDxfId="29"/>
    <tableColumn id="20" xr3:uid="{EA606288-799F-49F1-8AD7-317B79F2A358}" uniqueName="20" name="DT_MAJ" queryTableFieldId="20" dataDxfId="2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31FAF-2DFC-4410-8675-0DC621D773BB}">
  <sheetPr codeName="Feuil4"/>
  <dimension ref="A1:G19"/>
  <sheetViews>
    <sheetView workbookViewId="0">
      <selection activeCell="C1" sqref="C1"/>
    </sheetView>
  </sheetViews>
  <sheetFormatPr baseColWidth="10" defaultRowHeight="15" customHeight="1" x14ac:dyDescent="0.2"/>
  <cols>
    <col min="1" max="1" width="13.5" style="22" bestFit="1" customWidth="1"/>
    <col min="2" max="2" width="12.1640625" style="23" customWidth="1"/>
    <col min="3" max="3" width="25.83203125" style="22" bestFit="1" customWidth="1"/>
    <col min="4" max="4" width="8.83203125" style="23" customWidth="1"/>
    <col min="5" max="5" width="17.6640625" style="22" bestFit="1" customWidth="1"/>
    <col min="6" max="6" width="9.83203125" style="23" customWidth="1"/>
    <col min="7" max="7" width="10.5" style="22" bestFit="1" customWidth="1"/>
    <col min="8" max="16384" width="12" style="22"/>
  </cols>
  <sheetData>
    <row r="1" spans="1:7" s="9" customFormat="1" ht="22.5" x14ac:dyDescent="0.2">
      <c r="A1" s="9" t="s">
        <v>6</v>
      </c>
      <c r="B1" s="12" t="s">
        <v>357</v>
      </c>
      <c r="C1" s="9" t="s">
        <v>7</v>
      </c>
      <c r="D1" s="10" t="s">
        <v>346</v>
      </c>
      <c r="E1" s="9" t="s">
        <v>347</v>
      </c>
      <c r="F1" s="10" t="s">
        <v>348</v>
      </c>
      <c r="G1" s="9" t="s">
        <v>19</v>
      </c>
    </row>
    <row r="2" spans="1:7" ht="15" customHeight="1" x14ac:dyDescent="0.2">
      <c r="A2" s="18" t="s">
        <v>44</v>
      </c>
      <c r="B2" s="19" t="s">
        <v>349</v>
      </c>
      <c r="C2" s="18" t="s">
        <v>46</v>
      </c>
      <c r="D2" s="20" t="s">
        <v>30</v>
      </c>
      <c r="E2" s="18" t="s">
        <v>31</v>
      </c>
      <c r="F2" s="20" t="s">
        <v>24</v>
      </c>
      <c r="G2" s="21">
        <v>45623</v>
      </c>
    </row>
    <row r="3" spans="1:7" ht="15" customHeight="1" x14ac:dyDescent="0.2">
      <c r="A3" s="18" t="s">
        <v>52</v>
      </c>
      <c r="B3" s="19" t="s">
        <v>350</v>
      </c>
      <c r="C3" s="18" t="s">
        <v>55</v>
      </c>
      <c r="D3" s="20" t="s">
        <v>30</v>
      </c>
      <c r="E3" s="18" t="s">
        <v>31</v>
      </c>
      <c r="F3" s="20" t="s">
        <v>30</v>
      </c>
      <c r="G3" s="21">
        <v>45623</v>
      </c>
    </row>
    <row r="4" spans="1:7" ht="15" customHeight="1" x14ac:dyDescent="0.2">
      <c r="A4" s="18" t="s">
        <v>69</v>
      </c>
      <c r="B4" s="19" t="s">
        <v>351</v>
      </c>
      <c r="C4" s="18" t="s">
        <v>72</v>
      </c>
      <c r="D4" s="20" t="s">
        <v>30</v>
      </c>
      <c r="E4" s="18" t="s">
        <v>31</v>
      </c>
      <c r="F4" s="20" t="s">
        <v>30</v>
      </c>
      <c r="G4" s="21">
        <v>45623</v>
      </c>
    </row>
    <row r="5" spans="1:7" ht="15" customHeight="1" x14ac:dyDescent="0.2">
      <c r="A5" s="18" t="s">
        <v>32</v>
      </c>
      <c r="B5" s="19" t="s">
        <v>32</v>
      </c>
      <c r="C5" s="18" t="s">
        <v>33</v>
      </c>
      <c r="D5" s="20" t="s">
        <v>30</v>
      </c>
      <c r="E5" s="18" t="s">
        <v>31</v>
      </c>
      <c r="F5" s="20" t="s">
        <v>30</v>
      </c>
      <c r="G5" s="21">
        <v>45623</v>
      </c>
    </row>
    <row r="6" spans="1:7" ht="15" customHeight="1" x14ac:dyDescent="0.2">
      <c r="A6" s="18" t="s">
        <v>76</v>
      </c>
      <c r="B6" s="19" t="s">
        <v>352</v>
      </c>
      <c r="C6" s="18" t="s">
        <v>79</v>
      </c>
      <c r="D6" s="20" t="s">
        <v>22</v>
      </c>
      <c r="E6" s="18" t="s">
        <v>23</v>
      </c>
      <c r="F6" s="20" t="s">
        <v>24</v>
      </c>
      <c r="G6" s="21">
        <v>45623</v>
      </c>
    </row>
    <row r="7" spans="1:7" ht="15" customHeight="1" x14ac:dyDescent="0.2">
      <c r="A7" s="18" t="s">
        <v>42</v>
      </c>
      <c r="B7" s="19" t="s">
        <v>353</v>
      </c>
      <c r="C7" s="18" t="s">
        <v>43</v>
      </c>
      <c r="D7" s="20" t="s">
        <v>30</v>
      </c>
      <c r="E7" s="18" t="s">
        <v>31</v>
      </c>
      <c r="F7" s="20" t="s">
        <v>30</v>
      </c>
      <c r="G7" s="21">
        <v>45623</v>
      </c>
    </row>
    <row r="8" spans="1:7" ht="15" customHeight="1" x14ac:dyDescent="0.2">
      <c r="A8" s="18" t="s">
        <v>189</v>
      </c>
      <c r="B8" s="19" t="s">
        <v>189</v>
      </c>
      <c r="C8" s="18" t="s">
        <v>190</v>
      </c>
      <c r="D8" s="20" t="s">
        <v>22</v>
      </c>
      <c r="E8" s="18" t="s">
        <v>23</v>
      </c>
      <c r="F8" s="20" t="s">
        <v>24</v>
      </c>
      <c r="G8" s="21">
        <v>45623</v>
      </c>
    </row>
    <row r="9" spans="1:7" ht="15" customHeight="1" x14ac:dyDescent="0.2">
      <c r="A9" s="18" t="s">
        <v>160</v>
      </c>
      <c r="B9" s="19" t="s">
        <v>160</v>
      </c>
      <c r="C9" s="18" t="s">
        <v>161</v>
      </c>
      <c r="D9" s="20" t="s">
        <v>22</v>
      </c>
      <c r="E9" s="18" t="s">
        <v>23</v>
      </c>
      <c r="F9" s="20" t="s">
        <v>24</v>
      </c>
      <c r="G9" s="21">
        <v>45623</v>
      </c>
    </row>
    <row r="10" spans="1:7" ht="15" customHeight="1" x14ac:dyDescent="0.2">
      <c r="A10" s="18" t="s">
        <v>85</v>
      </c>
      <c r="B10" s="19" t="s">
        <v>354</v>
      </c>
      <c r="C10" s="18" t="s">
        <v>86</v>
      </c>
      <c r="D10" s="20" t="s">
        <v>30</v>
      </c>
      <c r="E10" s="18" t="s">
        <v>31</v>
      </c>
      <c r="F10" s="20" t="s">
        <v>30</v>
      </c>
      <c r="G10" s="21">
        <v>45623</v>
      </c>
    </row>
    <row r="11" spans="1:7" ht="15" customHeight="1" x14ac:dyDescent="0.2">
      <c r="A11" s="18" t="s">
        <v>58</v>
      </c>
      <c r="B11" s="19" t="s">
        <v>58</v>
      </c>
      <c r="C11" s="18" t="s">
        <v>59</v>
      </c>
      <c r="D11" s="20" t="s">
        <v>30</v>
      </c>
      <c r="E11" s="18" t="s">
        <v>31</v>
      </c>
      <c r="F11" s="20" t="s">
        <v>30</v>
      </c>
      <c r="G11" s="21">
        <v>45623</v>
      </c>
    </row>
    <row r="12" spans="1:7" ht="15" customHeight="1" x14ac:dyDescent="0.2">
      <c r="A12" s="18" t="s">
        <v>66</v>
      </c>
      <c r="B12" s="19" t="s">
        <v>66</v>
      </c>
      <c r="C12" s="18" t="s">
        <v>67</v>
      </c>
      <c r="D12" s="20" t="s">
        <v>30</v>
      </c>
      <c r="E12" s="18" t="s">
        <v>31</v>
      </c>
      <c r="F12" s="20" t="s">
        <v>30</v>
      </c>
      <c r="G12" s="21">
        <v>45623</v>
      </c>
    </row>
    <row r="13" spans="1:7" ht="15" customHeight="1" x14ac:dyDescent="0.2">
      <c r="A13" s="18" t="s">
        <v>25</v>
      </c>
      <c r="B13" s="19" t="s">
        <v>25</v>
      </c>
      <c r="C13" s="18" t="s">
        <v>26</v>
      </c>
      <c r="D13" s="20" t="s">
        <v>22</v>
      </c>
      <c r="E13" s="18" t="s">
        <v>23</v>
      </c>
      <c r="F13" s="20" t="s">
        <v>24</v>
      </c>
      <c r="G13" s="21">
        <v>45623</v>
      </c>
    </row>
    <row r="14" spans="1:7" ht="15" customHeight="1" x14ac:dyDescent="0.2">
      <c r="A14" s="18" t="s">
        <v>48</v>
      </c>
      <c r="B14" s="19" t="s">
        <v>48</v>
      </c>
      <c r="C14" s="18" t="s">
        <v>219</v>
      </c>
      <c r="D14" s="20" t="s">
        <v>30</v>
      </c>
      <c r="E14" s="18" t="s">
        <v>31</v>
      </c>
      <c r="F14" s="20" t="s">
        <v>24</v>
      </c>
      <c r="G14" s="21">
        <v>45623</v>
      </c>
    </row>
    <row r="15" spans="1:7" ht="15" customHeight="1" x14ac:dyDescent="0.2">
      <c r="A15" s="18" t="s">
        <v>231</v>
      </c>
      <c r="B15" s="19" t="s">
        <v>358</v>
      </c>
      <c r="C15" s="18" t="s">
        <v>232</v>
      </c>
      <c r="D15" s="20" t="s">
        <v>30</v>
      </c>
      <c r="E15" s="18" t="s">
        <v>31</v>
      </c>
      <c r="F15" s="20" t="s">
        <v>30</v>
      </c>
      <c r="G15" s="21">
        <v>45623</v>
      </c>
    </row>
    <row r="16" spans="1:7" ht="15" customHeight="1" x14ac:dyDescent="0.2">
      <c r="A16" s="18" t="s">
        <v>252</v>
      </c>
      <c r="B16" s="19" t="s">
        <v>355</v>
      </c>
      <c r="C16" s="18" t="s">
        <v>255</v>
      </c>
      <c r="D16" s="20" t="s">
        <v>22</v>
      </c>
      <c r="E16" s="18" t="s">
        <v>23</v>
      </c>
      <c r="F16" s="20" t="s">
        <v>30</v>
      </c>
      <c r="G16" s="21">
        <v>45623</v>
      </c>
    </row>
    <row r="17" spans="1:7" ht="15" customHeight="1" x14ac:dyDescent="0.2">
      <c r="A17" s="18" t="s">
        <v>224</v>
      </c>
      <c r="B17" s="19" t="s">
        <v>356</v>
      </c>
      <c r="C17" s="18" t="s">
        <v>225</v>
      </c>
      <c r="D17" s="20" t="s">
        <v>22</v>
      </c>
      <c r="E17" s="18" t="s">
        <v>23</v>
      </c>
      <c r="F17" s="20" t="s">
        <v>24</v>
      </c>
      <c r="G17" s="21">
        <v>45623</v>
      </c>
    </row>
    <row r="18" spans="1:7" ht="15" customHeight="1" x14ac:dyDescent="0.2">
      <c r="A18" s="18" t="s">
        <v>144</v>
      </c>
      <c r="B18" s="19" t="s">
        <v>144</v>
      </c>
      <c r="C18" s="18" t="s">
        <v>145</v>
      </c>
      <c r="D18" s="20" t="s">
        <v>30</v>
      </c>
      <c r="E18" s="18" t="s">
        <v>31</v>
      </c>
      <c r="F18" s="20" t="s">
        <v>30</v>
      </c>
      <c r="G18" s="21">
        <v>45623</v>
      </c>
    </row>
    <row r="19" spans="1:7" ht="15" customHeight="1" x14ac:dyDescent="0.2">
      <c r="A19" s="18" t="s">
        <v>152</v>
      </c>
      <c r="B19" s="19" t="s">
        <v>152</v>
      </c>
      <c r="C19" s="18" t="s">
        <v>153</v>
      </c>
      <c r="D19" s="20" t="s">
        <v>30</v>
      </c>
      <c r="E19" s="18" t="s">
        <v>31</v>
      </c>
      <c r="F19" s="20" t="s">
        <v>30</v>
      </c>
      <c r="G19" s="21">
        <v>45623</v>
      </c>
    </row>
  </sheetData>
  <pageMargins left="0.7" right="0.7" top="0.75" bottom="0.75" header="0.3" footer="0.3"/>
  <headerFooter>
    <oddFooter>&amp;C_x000D_&amp;1#&amp;"Calibri"&amp;10&amp;K000000 C1 - Interne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4807-CA36-4A33-A410-3E5EDF186DF4}">
  <sheetPr codeName="Feuil3"/>
  <dimension ref="A1:U95"/>
  <sheetViews>
    <sheetView tabSelected="1" workbookViewId="0">
      <selection activeCell="A2" sqref="A2"/>
    </sheetView>
  </sheetViews>
  <sheetFormatPr baseColWidth="10" defaultRowHeight="11.25" x14ac:dyDescent="0.2"/>
  <cols>
    <col min="1" max="1" width="8.1640625" style="6" customWidth="1"/>
    <col min="2" max="2" width="19" bestFit="1" customWidth="1"/>
    <col min="3" max="3" width="41" bestFit="1" customWidth="1"/>
    <col min="4" max="4" width="13.5" bestFit="1" customWidth="1"/>
    <col min="5" max="5" width="14" bestFit="1" customWidth="1"/>
    <col min="7" max="7" width="8" style="6" customWidth="1"/>
    <col min="8" max="8" width="13.6640625" bestFit="1" customWidth="1"/>
    <col min="9" max="9" width="8.83203125" style="6" customWidth="1"/>
    <col min="10" max="10" width="7.83203125" style="6" customWidth="1"/>
    <col min="11" max="11" width="11.1640625" style="6" customWidth="1"/>
    <col min="12" max="12" width="20.83203125" customWidth="1"/>
    <col min="13" max="13" width="8.5" style="6" customWidth="1"/>
    <col min="14" max="14" width="14" customWidth="1"/>
    <col min="15" max="15" width="8" style="6" customWidth="1"/>
    <col min="16" max="16" width="19.5" bestFit="1" customWidth="1"/>
    <col min="17" max="17" width="38.83203125" bestFit="1" customWidth="1"/>
    <col min="18" max="18" width="7.5" style="6" customWidth="1"/>
    <col min="19" max="19" width="29.6640625" customWidth="1"/>
    <col min="20" max="20" width="17.83203125" bestFit="1" customWidth="1"/>
    <col min="23" max="23" width="18.1640625" bestFit="1" customWidth="1"/>
    <col min="24" max="24" width="10.5" bestFit="1" customWidth="1"/>
  </cols>
  <sheetData>
    <row r="1" spans="1:21" s="9" customFormat="1" ht="33.75" x14ac:dyDescent="0.2">
      <c r="A1" s="10" t="s">
        <v>0</v>
      </c>
      <c r="B1" s="9" t="s">
        <v>1</v>
      </c>
      <c r="C1" s="9" t="s">
        <v>2</v>
      </c>
      <c r="D1" s="11" t="s">
        <v>16</v>
      </c>
      <c r="E1" s="11" t="s">
        <v>17</v>
      </c>
      <c r="F1" s="11" t="s">
        <v>18</v>
      </c>
      <c r="G1" s="10" t="s">
        <v>3</v>
      </c>
      <c r="H1" s="9" t="s">
        <v>4</v>
      </c>
      <c r="I1" s="10" t="s">
        <v>5</v>
      </c>
      <c r="J1" s="10" t="s">
        <v>6</v>
      </c>
      <c r="K1" s="13" t="s">
        <v>357</v>
      </c>
      <c r="L1" s="9" t="s">
        <v>7</v>
      </c>
      <c r="M1" s="10" t="s">
        <v>8</v>
      </c>
      <c r="N1" s="9" t="s">
        <v>9</v>
      </c>
      <c r="O1" s="10" t="s">
        <v>10</v>
      </c>
      <c r="P1" s="9" t="s">
        <v>11</v>
      </c>
      <c r="Q1" s="9" t="s">
        <v>12</v>
      </c>
      <c r="R1" s="10" t="s">
        <v>13</v>
      </c>
      <c r="S1" s="9" t="s">
        <v>14</v>
      </c>
      <c r="T1" s="9" t="s">
        <v>15</v>
      </c>
      <c r="U1" s="9" t="s">
        <v>19</v>
      </c>
    </row>
    <row r="2" spans="1:21" s="4" customFormat="1" x14ac:dyDescent="0.2">
      <c r="A2" s="7" t="s">
        <v>338</v>
      </c>
      <c r="B2" s="3" t="s">
        <v>20</v>
      </c>
      <c r="C2" s="3" t="s">
        <v>21</v>
      </c>
      <c r="D2" s="14"/>
      <c r="E2" s="14"/>
      <c r="F2" s="14"/>
      <c r="G2" s="7" t="s">
        <v>22</v>
      </c>
      <c r="H2" s="3" t="s">
        <v>23</v>
      </c>
      <c r="I2" s="7" t="s">
        <v>24</v>
      </c>
      <c r="J2" s="7" t="s">
        <v>25</v>
      </c>
      <c r="K2" s="16" t="str">
        <f>VLOOKUP(Requête1[[#This Row],[CD_GRP_ABS]],dim_absences_grp!A:B,2,0)</f>
        <v>MAL</v>
      </c>
      <c r="L2" s="3" t="s">
        <v>26</v>
      </c>
      <c r="M2" s="7" t="s">
        <v>22</v>
      </c>
      <c r="N2" s="3" t="s">
        <v>23</v>
      </c>
      <c r="O2" s="7" t="s">
        <v>25</v>
      </c>
      <c r="P2" s="3" t="s">
        <v>26</v>
      </c>
      <c r="Q2" s="3" t="s">
        <v>21</v>
      </c>
      <c r="R2" s="7" t="s">
        <v>339</v>
      </c>
      <c r="S2" s="3" t="s">
        <v>27</v>
      </c>
      <c r="T2" s="3" t="s">
        <v>25</v>
      </c>
      <c r="U2" s="5">
        <v>45273</v>
      </c>
    </row>
    <row r="3" spans="1:21" s="4" customFormat="1" x14ac:dyDescent="0.2">
      <c r="A3" s="7" t="s">
        <v>28</v>
      </c>
      <c r="B3" s="3" t="s">
        <v>29</v>
      </c>
      <c r="C3" s="3" t="s">
        <v>29</v>
      </c>
      <c r="D3" s="14"/>
      <c r="E3" s="14"/>
      <c r="F3" s="14"/>
      <c r="G3" s="7" t="s">
        <v>30</v>
      </c>
      <c r="H3" s="3" t="s">
        <v>31</v>
      </c>
      <c r="I3" s="7" t="s">
        <v>30</v>
      </c>
      <c r="J3" s="7" t="s">
        <v>32</v>
      </c>
      <c r="K3" s="16" t="str">
        <f>VLOOKUP(Requête1[[#This Row],[CD_GRP_ABS]],dim_absences_grp!A:B,2,0)</f>
        <v>AST</v>
      </c>
      <c r="L3" s="3" t="s">
        <v>33</v>
      </c>
      <c r="M3" s="7" t="s">
        <v>34</v>
      </c>
      <c r="N3" s="3" t="s">
        <v>35</v>
      </c>
      <c r="O3" s="7" t="s">
        <v>32</v>
      </c>
      <c r="P3" s="3" t="s">
        <v>33</v>
      </c>
      <c r="Q3" s="3" t="s">
        <v>36</v>
      </c>
      <c r="R3" s="7" t="s">
        <v>340</v>
      </c>
      <c r="S3" s="3" t="s">
        <v>37</v>
      </c>
      <c r="T3" s="3" t="s">
        <v>38</v>
      </c>
      <c r="U3" s="5">
        <v>45273</v>
      </c>
    </row>
    <row r="4" spans="1:21" x14ac:dyDescent="0.2">
      <c r="A4" s="8" t="s">
        <v>39</v>
      </c>
      <c r="B4" s="2" t="s">
        <v>40</v>
      </c>
      <c r="C4" s="2" t="s">
        <v>41</v>
      </c>
      <c r="D4" s="15">
        <v>201906</v>
      </c>
      <c r="E4" s="15">
        <v>202506</v>
      </c>
      <c r="F4" s="15">
        <v>39.412999999999997</v>
      </c>
      <c r="G4" s="8" t="s">
        <v>30</v>
      </c>
      <c r="H4" s="2" t="s">
        <v>31</v>
      </c>
      <c r="I4" s="8" t="s">
        <v>30</v>
      </c>
      <c r="J4" s="8" t="s">
        <v>42</v>
      </c>
      <c r="K4" s="17" t="str">
        <f>VLOOKUP(Requête1[[#This Row],[CD_GRP_ABS]],dim_absences_grp!A:B,2,0)</f>
        <v>CMF</v>
      </c>
      <c r="L4" s="2" t="s">
        <v>43</v>
      </c>
      <c r="M4" s="8" t="s">
        <v>34</v>
      </c>
      <c r="N4" s="2" t="s">
        <v>35</v>
      </c>
      <c r="O4" s="8" t="s">
        <v>42</v>
      </c>
      <c r="P4" s="2" t="s">
        <v>43</v>
      </c>
      <c r="Q4" s="2" t="s">
        <v>41</v>
      </c>
      <c r="R4" s="8" t="s">
        <v>340</v>
      </c>
      <c r="S4" s="2" t="s">
        <v>37</v>
      </c>
      <c r="T4" s="2" t="s">
        <v>38</v>
      </c>
      <c r="U4" s="1">
        <v>45273</v>
      </c>
    </row>
    <row r="5" spans="1:21" x14ac:dyDescent="0.2">
      <c r="A5" s="8" t="s">
        <v>44</v>
      </c>
      <c r="B5" s="2" t="s">
        <v>45</v>
      </c>
      <c r="C5" s="2" t="s">
        <v>45</v>
      </c>
      <c r="D5" s="15">
        <v>201901</v>
      </c>
      <c r="E5" s="15">
        <v>202503</v>
      </c>
      <c r="F5" s="15">
        <v>38.36</v>
      </c>
      <c r="G5" s="8" t="s">
        <v>30</v>
      </c>
      <c r="H5" s="2" t="s">
        <v>31</v>
      </c>
      <c r="I5" s="8" t="s">
        <v>24</v>
      </c>
      <c r="J5" s="8" t="s">
        <v>44</v>
      </c>
      <c r="K5" s="17" t="str">
        <f>VLOOKUP(Requête1[[#This Row],[CD_GRP_ABS]],dim_absences_grp!A:B,2,0)</f>
        <v>ADO</v>
      </c>
      <c r="L5" s="2" t="s">
        <v>46</v>
      </c>
      <c r="M5" s="8" t="s">
        <v>30</v>
      </c>
      <c r="N5" s="2" t="s">
        <v>31</v>
      </c>
      <c r="O5" s="8" t="s">
        <v>42</v>
      </c>
      <c r="P5" s="2" t="s">
        <v>43</v>
      </c>
      <c r="Q5" s="2" t="s">
        <v>45</v>
      </c>
      <c r="R5" s="8" t="s">
        <v>341</v>
      </c>
      <c r="S5" s="2" t="s">
        <v>47</v>
      </c>
      <c r="T5" s="2" t="s">
        <v>48</v>
      </c>
      <c r="U5" s="1">
        <v>45273</v>
      </c>
    </row>
    <row r="6" spans="1:21" s="4" customFormat="1" x14ac:dyDescent="0.2">
      <c r="A6" s="7" t="s">
        <v>49</v>
      </c>
      <c r="B6" s="3" t="s">
        <v>50</v>
      </c>
      <c r="C6" s="3" t="s">
        <v>51</v>
      </c>
      <c r="D6" s="14"/>
      <c r="E6" s="14"/>
      <c r="F6" s="14"/>
      <c r="G6" s="7" t="s">
        <v>30</v>
      </c>
      <c r="H6" s="3" t="s">
        <v>31</v>
      </c>
      <c r="I6" s="7" t="s">
        <v>30</v>
      </c>
      <c r="J6" s="7" t="s">
        <v>32</v>
      </c>
      <c r="K6" s="16" t="str">
        <f>VLOOKUP(Requête1[[#This Row],[CD_GRP_ABS]],dim_absences_grp!A:B,2,0)</f>
        <v>AST</v>
      </c>
      <c r="L6" s="3" t="s">
        <v>33</v>
      </c>
      <c r="M6" s="7" t="s">
        <v>34</v>
      </c>
      <c r="N6" s="3" t="s">
        <v>35</v>
      </c>
      <c r="O6" s="7" t="s">
        <v>32</v>
      </c>
      <c r="P6" s="3" t="s">
        <v>33</v>
      </c>
      <c r="Q6" s="3" t="s">
        <v>36</v>
      </c>
      <c r="R6" s="7" t="s">
        <v>340</v>
      </c>
      <c r="S6" s="3" t="s">
        <v>37</v>
      </c>
      <c r="T6" s="3" t="s">
        <v>38</v>
      </c>
      <c r="U6" s="5">
        <v>45273</v>
      </c>
    </row>
    <row r="7" spans="1:21" x14ac:dyDescent="0.2">
      <c r="A7" s="8" t="s">
        <v>52</v>
      </c>
      <c r="B7" s="2" t="s">
        <v>53</v>
      </c>
      <c r="C7" s="2" t="s">
        <v>54</v>
      </c>
      <c r="D7" s="15">
        <v>201901</v>
      </c>
      <c r="E7" s="15">
        <v>202506</v>
      </c>
      <c r="F7" s="15">
        <v>7495.4880000000003</v>
      </c>
      <c r="G7" s="8" t="s">
        <v>30</v>
      </c>
      <c r="H7" s="2" t="s">
        <v>31</v>
      </c>
      <c r="I7" s="8" t="s">
        <v>30</v>
      </c>
      <c r="J7" s="8" t="s">
        <v>52</v>
      </c>
      <c r="K7" s="17" t="str">
        <f>VLOOKUP(Requête1[[#This Row],[CD_GRP_ABS]],dim_absences_grp!A:B,2,0)</f>
        <v>AIR</v>
      </c>
      <c r="L7" s="2" t="s">
        <v>55</v>
      </c>
      <c r="M7" s="8" t="s">
        <v>34</v>
      </c>
      <c r="N7" s="2" t="s">
        <v>35</v>
      </c>
      <c r="O7" s="8" t="s">
        <v>52</v>
      </c>
      <c r="P7" s="2" t="s">
        <v>55</v>
      </c>
      <c r="Q7" s="2" t="s">
        <v>54</v>
      </c>
      <c r="R7" s="8" t="s">
        <v>340</v>
      </c>
      <c r="S7" s="2" t="s">
        <v>37</v>
      </c>
      <c r="T7" s="2" t="s">
        <v>38</v>
      </c>
      <c r="U7" s="1">
        <v>45273</v>
      </c>
    </row>
    <row r="8" spans="1:21" s="4" customFormat="1" x14ac:dyDescent="0.2">
      <c r="A8" s="7" t="s">
        <v>56</v>
      </c>
      <c r="B8" s="3" t="s">
        <v>57</v>
      </c>
      <c r="C8" s="3" t="s">
        <v>57</v>
      </c>
      <c r="D8" s="14"/>
      <c r="E8" s="14"/>
      <c r="F8" s="14"/>
      <c r="G8" s="7" t="s">
        <v>30</v>
      </c>
      <c r="H8" s="3" t="s">
        <v>31</v>
      </c>
      <c r="I8" s="7" t="s">
        <v>30</v>
      </c>
      <c r="J8" s="7" t="s">
        <v>58</v>
      </c>
      <c r="K8" s="16" t="str">
        <f>VLOOKUP(Requête1[[#This Row],[CD_GRP_ABS]],dim_absences_grp!A:B,2,0)</f>
        <v>DIV</v>
      </c>
      <c r="L8" s="3" t="s">
        <v>59</v>
      </c>
      <c r="M8" s="7" t="s">
        <v>34</v>
      </c>
      <c r="N8" s="3" t="s">
        <v>35</v>
      </c>
      <c r="O8" s="7" t="s">
        <v>58</v>
      </c>
      <c r="P8" s="3" t="s">
        <v>59</v>
      </c>
      <c r="Q8" s="3" t="s">
        <v>57</v>
      </c>
      <c r="R8" s="7" t="s">
        <v>340</v>
      </c>
      <c r="S8" s="3" t="s">
        <v>37</v>
      </c>
      <c r="T8" s="3" t="s">
        <v>38</v>
      </c>
      <c r="U8" s="5">
        <v>45273</v>
      </c>
    </row>
    <row r="9" spans="1:21" s="4" customFormat="1" x14ac:dyDescent="0.2">
      <c r="A9" s="7" t="s">
        <v>60</v>
      </c>
      <c r="B9" s="3" t="s">
        <v>61</v>
      </c>
      <c r="C9" s="3" t="s">
        <v>62</v>
      </c>
      <c r="D9" s="14"/>
      <c r="E9" s="14"/>
      <c r="F9" s="14"/>
      <c r="G9" s="7" t="s">
        <v>30</v>
      </c>
      <c r="H9" s="3" t="s">
        <v>31</v>
      </c>
      <c r="I9" s="7" t="s">
        <v>30</v>
      </c>
      <c r="J9" s="7" t="s">
        <v>32</v>
      </c>
      <c r="K9" s="16" t="str">
        <f>VLOOKUP(Requête1[[#This Row],[CD_GRP_ABS]],dim_absences_grp!A:B,2,0)</f>
        <v>AST</v>
      </c>
      <c r="L9" s="3" t="s">
        <v>33</v>
      </c>
      <c r="M9" s="7" t="s">
        <v>34</v>
      </c>
      <c r="N9" s="3" t="s">
        <v>35</v>
      </c>
      <c r="O9" s="7" t="s">
        <v>32</v>
      </c>
      <c r="P9" s="3" t="s">
        <v>33</v>
      </c>
      <c r="Q9" s="3" t="s">
        <v>36</v>
      </c>
      <c r="R9" s="7" t="s">
        <v>340</v>
      </c>
      <c r="S9" s="3" t="s">
        <v>37</v>
      </c>
      <c r="T9" s="3" t="s">
        <v>38</v>
      </c>
      <c r="U9" s="5">
        <v>45273</v>
      </c>
    </row>
    <row r="10" spans="1:21" s="4" customFormat="1" x14ac:dyDescent="0.2">
      <c r="A10" s="7" t="s">
        <v>63</v>
      </c>
      <c r="B10" s="3" t="s">
        <v>64</v>
      </c>
      <c r="C10" s="3" t="s">
        <v>65</v>
      </c>
      <c r="D10" s="14"/>
      <c r="E10" s="14"/>
      <c r="F10" s="14"/>
      <c r="G10" s="7" t="s">
        <v>30</v>
      </c>
      <c r="H10" s="3" t="s">
        <v>31</v>
      </c>
      <c r="I10" s="7" t="s">
        <v>30</v>
      </c>
      <c r="J10" s="7" t="s">
        <v>66</v>
      </c>
      <c r="K10" s="16" t="str">
        <f>VLOOKUP(Requête1[[#This Row],[CD_GRP_ABS]],dim_absences_grp!A:B,2,0)</f>
        <v>FOR</v>
      </c>
      <c r="L10" s="3" t="s">
        <v>67</v>
      </c>
      <c r="M10" s="7" t="s">
        <v>34</v>
      </c>
      <c r="N10" s="3" t="s">
        <v>35</v>
      </c>
      <c r="O10" s="7" t="s">
        <v>66</v>
      </c>
      <c r="P10" s="3" t="s">
        <v>67</v>
      </c>
      <c r="Q10" s="3" t="s">
        <v>68</v>
      </c>
      <c r="R10" s="7" t="s">
        <v>340</v>
      </c>
      <c r="S10" s="3" t="s">
        <v>37</v>
      </c>
      <c r="T10" s="3" t="s">
        <v>38</v>
      </c>
      <c r="U10" s="5">
        <v>45273</v>
      </c>
    </row>
    <row r="11" spans="1:21" x14ac:dyDescent="0.2">
      <c r="A11" s="8" t="s">
        <v>69</v>
      </c>
      <c r="B11" s="2" t="s">
        <v>70</v>
      </c>
      <c r="C11" s="2" t="s">
        <v>71</v>
      </c>
      <c r="D11" s="15">
        <v>201901</v>
      </c>
      <c r="E11" s="15">
        <v>202506</v>
      </c>
      <c r="F11" s="15">
        <v>71.385000000000005</v>
      </c>
      <c r="G11" s="8" t="s">
        <v>30</v>
      </c>
      <c r="H11" s="2" t="s">
        <v>31</v>
      </c>
      <c r="I11" s="8" t="s">
        <v>30</v>
      </c>
      <c r="J11" s="8" t="s">
        <v>69</v>
      </c>
      <c r="K11" s="17" t="str">
        <f>VLOOKUP(Requête1[[#This Row],[CD_GRP_ABS]],dim_absences_grp!A:B,2,0)</f>
        <v>ARE </v>
      </c>
      <c r="L11" s="2" t="s">
        <v>72</v>
      </c>
      <c r="M11" s="8" t="s">
        <v>34</v>
      </c>
      <c r="N11" s="2" t="s">
        <v>35</v>
      </c>
      <c r="O11" s="8" t="s">
        <v>69</v>
      </c>
      <c r="P11" s="2" t="s">
        <v>72</v>
      </c>
      <c r="Q11" s="2" t="s">
        <v>71</v>
      </c>
      <c r="R11" s="8" t="s">
        <v>340</v>
      </c>
      <c r="S11" s="2" t="s">
        <v>37</v>
      </c>
      <c r="T11" s="2" t="s">
        <v>38</v>
      </c>
      <c r="U11" s="1">
        <v>45273</v>
      </c>
    </row>
    <row r="12" spans="1:21" s="4" customFormat="1" x14ac:dyDescent="0.2">
      <c r="A12" s="7" t="s">
        <v>73</v>
      </c>
      <c r="B12" s="3" t="s">
        <v>74</v>
      </c>
      <c r="C12" s="3" t="s">
        <v>75</v>
      </c>
      <c r="D12" s="14"/>
      <c r="E12" s="14"/>
      <c r="F12" s="14"/>
      <c r="G12" s="7" t="s">
        <v>30</v>
      </c>
      <c r="H12" s="3" t="s">
        <v>31</v>
      </c>
      <c r="I12" s="7" t="s">
        <v>30</v>
      </c>
      <c r="J12" s="7" t="s">
        <v>32</v>
      </c>
      <c r="K12" s="16" t="str">
        <f>VLOOKUP(Requête1[[#This Row],[CD_GRP_ABS]],dim_absences_grp!A:B,2,0)</f>
        <v>AST</v>
      </c>
      <c r="L12" s="3" t="s">
        <v>33</v>
      </c>
      <c r="M12" s="7" t="s">
        <v>34</v>
      </c>
      <c r="N12" s="3" t="s">
        <v>35</v>
      </c>
      <c r="O12" s="7" t="s">
        <v>32</v>
      </c>
      <c r="P12" s="3" t="s">
        <v>33</v>
      </c>
      <c r="Q12" s="3" t="s">
        <v>36</v>
      </c>
      <c r="R12" s="7" t="s">
        <v>340</v>
      </c>
      <c r="S12" s="3" t="s">
        <v>37</v>
      </c>
      <c r="T12" s="3" t="s">
        <v>38</v>
      </c>
      <c r="U12" s="5">
        <v>45273</v>
      </c>
    </row>
    <row r="13" spans="1:21" x14ac:dyDescent="0.2">
      <c r="A13" s="8" t="s">
        <v>76</v>
      </c>
      <c r="B13" s="2" t="s">
        <v>77</v>
      </c>
      <c r="C13" s="2" t="s">
        <v>78</v>
      </c>
      <c r="D13" s="15">
        <v>201901</v>
      </c>
      <c r="E13" s="15">
        <v>202506</v>
      </c>
      <c r="F13" s="15">
        <v>41226.803999999996</v>
      </c>
      <c r="G13" s="8" t="s">
        <v>22</v>
      </c>
      <c r="H13" s="2" t="s">
        <v>23</v>
      </c>
      <c r="I13" s="8" t="s">
        <v>24</v>
      </c>
      <c r="J13" s="8" t="s">
        <v>76</v>
      </c>
      <c r="K13" s="17" t="str">
        <f>VLOOKUP(Requête1[[#This Row],[CD_GRP_ABS]],dim_absences_grp!A:B,2,0)</f>
        <v>ACT</v>
      </c>
      <c r="L13" s="2" t="s">
        <v>79</v>
      </c>
      <c r="M13" s="8" t="s">
        <v>22</v>
      </c>
      <c r="N13" s="2" t="s">
        <v>23</v>
      </c>
      <c r="O13" s="8" t="s">
        <v>76</v>
      </c>
      <c r="P13" s="2" t="s">
        <v>79</v>
      </c>
      <c r="Q13" s="2" t="s">
        <v>78</v>
      </c>
      <c r="R13" s="8" t="s">
        <v>342</v>
      </c>
      <c r="S13" s="2" t="s">
        <v>80</v>
      </c>
      <c r="T13" s="2" t="s">
        <v>81</v>
      </c>
      <c r="U13" s="1">
        <v>45273</v>
      </c>
    </row>
    <row r="14" spans="1:21" x14ac:dyDescent="0.2">
      <c r="A14" s="8" t="s">
        <v>82</v>
      </c>
      <c r="B14" s="2" t="s">
        <v>83</v>
      </c>
      <c r="C14" s="2" t="s">
        <v>84</v>
      </c>
      <c r="D14" s="15">
        <v>201901</v>
      </c>
      <c r="E14" s="15">
        <v>202506</v>
      </c>
      <c r="F14" s="15">
        <v>16026.427</v>
      </c>
      <c r="G14" s="8" t="s">
        <v>30</v>
      </c>
      <c r="H14" s="2" t="s">
        <v>31</v>
      </c>
      <c r="I14" s="8" t="s">
        <v>30</v>
      </c>
      <c r="J14" s="8" t="s">
        <v>85</v>
      </c>
      <c r="K14" s="17" t="str">
        <f>VLOOKUP(Requête1[[#This Row],[CD_GRP_ABS]],dim_absences_grp!A:B,2,0)</f>
        <v>CBO</v>
      </c>
      <c r="L14" s="2" t="s">
        <v>86</v>
      </c>
      <c r="M14" s="8" t="s">
        <v>34</v>
      </c>
      <c r="N14" s="2" t="s">
        <v>35</v>
      </c>
      <c r="O14" s="8" t="s">
        <v>85</v>
      </c>
      <c r="P14" s="2" t="s">
        <v>86</v>
      </c>
      <c r="Q14" s="2" t="s">
        <v>87</v>
      </c>
      <c r="R14" s="8" t="s">
        <v>340</v>
      </c>
      <c r="S14" s="2" t="s">
        <v>37</v>
      </c>
      <c r="T14" s="2" t="s">
        <v>38</v>
      </c>
      <c r="U14" s="1">
        <v>45273</v>
      </c>
    </row>
    <row r="15" spans="1:21" x14ac:dyDescent="0.2">
      <c r="A15" s="8" t="s">
        <v>88</v>
      </c>
      <c r="B15" s="2" t="s">
        <v>89</v>
      </c>
      <c r="C15" s="2" t="s">
        <v>90</v>
      </c>
      <c r="D15" s="15">
        <v>201907</v>
      </c>
      <c r="E15" s="15">
        <v>202409</v>
      </c>
      <c r="F15" s="15">
        <v>40.368000000000002</v>
      </c>
      <c r="G15" s="8" t="s">
        <v>30</v>
      </c>
      <c r="H15" s="2" t="s">
        <v>31</v>
      </c>
      <c r="I15" s="8" t="s">
        <v>30</v>
      </c>
      <c r="J15" s="8" t="s">
        <v>85</v>
      </c>
      <c r="K15" s="17" t="str">
        <f>VLOOKUP(Requête1[[#This Row],[CD_GRP_ABS]],dim_absences_grp!A:B,2,0)</f>
        <v>CBO</v>
      </c>
      <c r="L15" s="2" t="s">
        <v>86</v>
      </c>
      <c r="M15" s="8" t="s">
        <v>34</v>
      </c>
      <c r="N15" s="2" t="s">
        <v>35</v>
      </c>
      <c r="O15" s="8" t="s">
        <v>85</v>
      </c>
      <c r="P15" s="2" t="s">
        <v>86</v>
      </c>
      <c r="Q15" s="2" t="s">
        <v>87</v>
      </c>
      <c r="R15" s="8" t="s">
        <v>340</v>
      </c>
      <c r="S15" s="2" t="s">
        <v>37</v>
      </c>
      <c r="T15" s="2" t="s">
        <v>38</v>
      </c>
      <c r="U15" s="1">
        <v>45273</v>
      </c>
    </row>
    <row r="16" spans="1:21" x14ac:dyDescent="0.2">
      <c r="A16" s="8" t="s">
        <v>91</v>
      </c>
      <c r="B16" s="2" t="s">
        <v>92</v>
      </c>
      <c r="C16" s="2" t="s">
        <v>93</v>
      </c>
      <c r="D16" s="15">
        <v>201901</v>
      </c>
      <c r="E16" s="15">
        <v>202506</v>
      </c>
      <c r="F16" s="15">
        <v>1044.5309999999999</v>
      </c>
      <c r="G16" s="8" t="s">
        <v>30</v>
      </c>
      <c r="H16" s="2" t="s">
        <v>31</v>
      </c>
      <c r="I16" s="8" t="s">
        <v>30</v>
      </c>
      <c r="J16" s="8" t="s">
        <v>85</v>
      </c>
      <c r="K16" s="17" t="str">
        <f>VLOOKUP(Requête1[[#This Row],[CD_GRP_ABS]],dim_absences_grp!A:B,2,0)</f>
        <v>CBO</v>
      </c>
      <c r="L16" s="2" t="s">
        <v>86</v>
      </c>
      <c r="M16" s="8" t="s">
        <v>34</v>
      </c>
      <c r="N16" s="2" t="s">
        <v>35</v>
      </c>
      <c r="O16" s="8" t="s">
        <v>85</v>
      </c>
      <c r="P16" s="2" t="s">
        <v>86</v>
      </c>
      <c r="Q16" s="2" t="s">
        <v>87</v>
      </c>
      <c r="R16" s="8" t="s">
        <v>340</v>
      </c>
      <c r="S16" s="2" t="s">
        <v>37</v>
      </c>
      <c r="T16" s="2" t="s">
        <v>38</v>
      </c>
      <c r="U16" s="1">
        <v>45273</v>
      </c>
    </row>
    <row r="17" spans="1:21" x14ac:dyDescent="0.2">
      <c r="A17" s="8" t="s">
        <v>94</v>
      </c>
      <c r="B17" s="2" t="s">
        <v>95</v>
      </c>
      <c r="C17" s="2" t="s">
        <v>95</v>
      </c>
      <c r="D17" s="15">
        <v>201901</v>
      </c>
      <c r="E17" s="15">
        <v>202504</v>
      </c>
      <c r="F17" s="15">
        <v>36.311</v>
      </c>
      <c r="G17" s="8" t="s">
        <v>30</v>
      </c>
      <c r="H17" s="2" t="s">
        <v>31</v>
      </c>
      <c r="I17" s="8" t="s">
        <v>30</v>
      </c>
      <c r="J17" s="8" t="s">
        <v>85</v>
      </c>
      <c r="K17" s="17" t="str">
        <f>VLOOKUP(Requête1[[#This Row],[CD_GRP_ABS]],dim_absences_grp!A:B,2,0)</f>
        <v>CBO</v>
      </c>
      <c r="L17" s="2" t="s">
        <v>86</v>
      </c>
      <c r="M17" s="8" t="s">
        <v>34</v>
      </c>
      <c r="N17" s="2" t="s">
        <v>35</v>
      </c>
      <c r="O17" s="8" t="s">
        <v>85</v>
      </c>
      <c r="P17" s="2" t="s">
        <v>86</v>
      </c>
      <c r="Q17" s="2" t="s">
        <v>95</v>
      </c>
      <c r="R17" s="8" t="s">
        <v>340</v>
      </c>
      <c r="S17" s="2" t="s">
        <v>37</v>
      </c>
      <c r="T17" s="2" t="s">
        <v>38</v>
      </c>
      <c r="U17" s="1">
        <v>45273</v>
      </c>
    </row>
    <row r="18" spans="1:21" s="4" customFormat="1" x14ac:dyDescent="0.2">
      <c r="A18" s="7" t="s">
        <v>96</v>
      </c>
      <c r="B18" s="3" t="s">
        <v>87</v>
      </c>
      <c r="C18" s="3" t="s">
        <v>87</v>
      </c>
      <c r="D18" s="14"/>
      <c r="E18" s="14"/>
      <c r="F18" s="14"/>
      <c r="G18" s="7" t="s">
        <v>30</v>
      </c>
      <c r="H18" s="3" t="s">
        <v>31</v>
      </c>
      <c r="I18" s="7" t="s">
        <v>30</v>
      </c>
      <c r="J18" s="7" t="s">
        <v>85</v>
      </c>
      <c r="K18" s="16" t="str">
        <f>VLOOKUP(Requête1[[#This Row],[CD_GRP_ABS]],dim_absences_grp!A:B,2,0)</f>
        <v>CBO</v>
      </c>
      <c r="L18" s="3" t="s">
        <v>86</v>
      </c>
      <c r="M18" s="7" t="s">
        <v>34</v>
      </c>
      <c r="N18" s="3" t="s">
        <v>35</v>
      </c>
      <c r="O18" s="7" t="s">
        <v>85</v>
      </c>
      <c r="P18" s="3" t="s">
        <v>86</v>
      </c>
      <c r="Q18" s="3" t="s">
        <v>87</v>
      </c>
      <c r="R18" s="7" t="s">
        <v>340</v>
      </c>
      <c r="S18" s="3" t="s">
        <v>37</v>
      </c>
      <c r="T18" s="3" t="s">
        <v>38</v>
      </c>
      <c r="U18" s="5">
        <v>45273</v>
      </c>
    </row>
    <row r="19" spans="1:21" x14ac:dyDescent="0.2">
      <c r="A19" s="8" t="s">
        <v>97</v>
      </c>
      <c r="B19" s="2" t="s">
        <v>98</v>
      </c>
      <c r="C19" s="2" t="s">
        <v>99</v>
      </c>
      <c r="D19" s="15">
        <v>202106</v>
      </c>
      <c r="E19" s="15">
        <v>202106</v>
      </c>
      <c r="F19" s="15">
        <v>0.13200000000000001</v>
      </c>
      <c r="G19" s="8" t="s">
        <v>30</v>
      </c>
      <c r="H19" s="2" t="s">
        <v>31</v>
      </c>
      <c r="I19" s="8" t="s">
        <v>30</v>
      </c>
      <c r="J19" s="8" t="s">
        <v>58</v>
      </c>
      <c r="K19" s="17" t="str">
        <f>VLOOKUP(Requête1[[#This Row],[CD_GRP_ABS]],dim_absences_grp!A:B,2,0)</f>
        <v>DIV</v>
      </c>
      <c r="L19" s="2" t="s">
        <v>59</v>
      </c>
      <c r="M19" s="8" t="s">
        <v>34</v>
      </c>
      <c r="N19" s="2" t="s">
        <v>35</v>
      </c>
      <c r="O19" s="8" t="s">
        <v>58</v>
      </c>
      <c r="P19" s="2" t="s">
        <v>59</v>
      </c>
      <c r="Q19" s="2" t="s">
        <v>100</v>
      </c>
      <c r="R19" s="8" t="s">
        <v>340</v>
      </c>
      <c r="S19" s="2" t="s">
        <v>37</v>
      </c>
      <c r="T19" s="2" t="s">
        <v>38</v>
      </c>
      <c r="U19" s="1">
        <v>45273</v>
      </c>
    </row>
    <row r="20" spans="1:21" x14ac:dyDescent="0.2">
      <c r="A20" s="8" t="s">
        <v>42</v>
      </c>
      <c r="B20" s="2" t="s">
        <v>101</v>
      </c>
      <c r="C20" s="2" t="s">
        <v>102</v>
      </c>
      <c r="D20" s="15">
        <v>201901</v>
      </c>
      <c r="E20" s="15">
        <v>202506</v>
      </c>
      <c r="F20" s="15">
        <v>5492.1040000000003</v>
      </c>
      <c r="G20" s="8" t="s">
        <v>30</v>
      </c>
      <c r="H20" s="2" t="s">
        <v>31</v>
      </c>
      <c r="I20" s="8" t="s">
        <v>30</v>
      </c>
      <c r="J20" s="8" t="s">
        <v>66</v>
      </c>
      <c r="K20" s="17" t="str">
        <f>VLOOKUP(Requête1[[#This Row],[CD_GRP_ABS]],dim_absences_grp!A:B,2,0)</f>
        <v>FOR</v>
      </c>
      <c r="L20" s="2" t="s">
        <v>67</v>
      </c>
      <c r="M20" s="8" t="s">
        <v>34</v>
      </c>
      <c r="N20" s="2" t="s">
        <v>35</v>
      </c>
      <c r="O20" s="8" t="s">
        <v>66</v>
      </c>
      <c r="P20" s="2" t="s">
        <v>67</v>
      </c>
      <c r="Q20" s="2" t="s">
        <v>103</v>
      </c>
      <c r="R20" s="8" t="s">
        <v>340</v>
      </c>
      <c r="S20" s="2" t="s">
        <v>37</v>
      </c>
      <c r="T20" s="2" t="s">
        <v>38</v>
      </c>
      <c r="U20" s="1">
        <v>45273</v>
      </c>
    </row>
    <row r="21" spans="1:21" s="4" customFormat="1" x14ac:dyDescent="0.2">
      <c r="A21" s="7" t="s">
        <v>104</v>
      </c>
      <c r="B21" s="3" t="s">
        <v>105</v>
      </c>
      <c r="C21" s="3" t="s">
        <v>106</v>
      </c>
      <c r="D21" s="14"/>
      <c r="E21" s="14"/>
      <c r="F21" s="14"/>
      <c r="G21" s="7" t="s">
        <v>30</v>
      </c>
      <c r="H21" s="3" t="s">
        <v>31</v>
      </c>
      <c r="I21" s="7" t="s">
        <v>30</v>
      </c>
      <c r="J21" s="7" t="s">
        <v>58</v>
      </c>
      <c r="K21" s="16" t="str">
        <f>VLOOKUP(Requête1[[#This Row],[CD_GRP_ABS]],dim_absences_grp!A:B,2,0)</f>
        <v>DIV</v>
      </c>
      <c r="L21" s="3" t="s">
        <v>59</v>
      </c>
      <c r="M21" s="7" t="s">
        <v>34</v>
      </c>
      <c r="N21" s="3" t="s">
        <v>35</v>
      </c>
      <c r="O21" s="7" t="s">
        <v>58</v>
      </c>
      <c r="P21" s="3" t="s">
        <v>59</v>
      </c>
      <c r="Q21" s="3" t="s">
        <v>107</v>
      </c>
      <c r="R21" s="7" t="s">
        <v>340</v>
      </c>
      <c r="S21" s="3" t="s">
        <v>37</v>
      </c>
      <c r="T21" s="3" t="s">
        <v>38</v>
      </c>
      <c r="U21" s="5">
        <v>45273</v>
      </c>
    </row>
    <row r="22" spans="1:21" x14ac:dyDescent="0.2">
      <c r="A22" s="8" t="s">
        <v>108</v>
      </c>
      <c r="B22" s="2" t="s">
        <v>109</v>
      </c>
      <c r="C22" s="2" t="s">
        <v>110</v>
      </c>
      <c r="D22" s="15">
        <v>201904</v>
      </c>
      <c r="E22" s="15">
        <v>202506</v>
      </c>
      <c r="F22" s="15">
        <v>4.6559999999999997</v>
      </c>
      <c r="G22" s="8" t="s">
        <v>30</v>
      </c>
      <c r="H22" s="2" t="s">
        <v>31</v>
      </c>
      <c r="I22" s="8" t="s">
        <v>30</v>
      </c>
      <c r="J22" s="8" t="s">
        <v>66</v>
      </c>
      <c r="K22" s="17" t="str">
        <f>VLOOKUP(Requête1[[#This Row],[CD_GRP_ABS]],dim_absences_grp!A:B,2,0)</f>
        <v>FOR</v>
      </c>
      <c r="L22" s="2" t="s">
        <v>67</v>
      </c>
      <c r="M22" s="8" t="s">
        <v>34</v>
      </c>
      <c r="N22" s="2" t="s">
        <v>35</v>
      </c>
      <c r="O22" s="8" t="s">
        <v>66</v>
      </c>
      <c r="P22" s="2" t="s">
        <v>67</v>
      </c>
      <c r="Q22" s="2" t="s">
        <v>100</v>
      </c>
      <c r="R22" s="8" t="s">
        <v>340</v>
      </c>
      <c r="S22" s="2" t="s">
        <v>37</v>
      </c>
      <c r="T22" s="2" t="s">
        <v>38</v>
      </c>
      <c r="U22" s="1">
        <v>45273</v>
      </c>
    </row>
    <row r="23" spans="1:21" x14ac:dyDescent="0.2">
      <c r="A23" s="8" t="s">
        <v>111</v>
      </c>
      <c r="B23" s="2" t="s">
        <v>112</v>
      </c>
      <c r="C23" s="2" t="s">
        <v>112</v>
      </c>
      <c r="D23" s="15">
        <v>201901</v>
      </c>
      <c r="E23" s="15">
        <v>202506</v>
      </c>
      <c r="F23" s="15">
        <v>186559.21299999999</v>
      </c>
      <c r="G23" s="8" t="s">
        <v>22</v>
      </c>
      <c r="H23" s="2" t="s">
        <v>23</v>
      </c>
      <c r="I23" s="8" t="s">
        <v>24</v>
      </c>
      <c r="J23" s="8" t="s">
        <v>25</v>
      </c>
      <c r="K23" s="17" t="str">
        <f>VLOOKUP(Requête1[[#This Row],[CD_GRP_ABS]],dim_absences_grp!A:B,2,0)</f>
        <v>MAL</v>
      </c>
      <c r="L23" s="2" t="s">
        <v>26</v>
      </c>
      <c r="M23" s="8" t="s">
        <v>22</v>
      </c>
      <c r="N23" s="2" t="s">
        <v>23</v>
      </c>
      <c r="O23" s="8" t="s">
        <v>25</v>
      </c>
      <c r="P23" s="2" t="s">
        <v>26</v>
      </c>
      <c r="Q23" s="2" t="s">
        <v>112</v>
      </c>
      <c r="R23" s="8" t="s">
        <v>339</v>
      </c>
      <c r="S23" s="2" t="s">
        <v>27</v>
      </c>
      <c r="T23" s="2" t="s">
        <v>25</v>
      </c>
      <c r="U23" s="1">
        <v>45273</v>
      </c>
    </row>
    <row r="24" spans="1:21" x14ac:dyDescent="0.2">
      <c r="A24" s="8" t="s">
        <v>113</v>
      </c>
      <c r="B24" s="2" t="s">
        <v>114</v>
      </c>
      <c r="C24" s="2" t="s">
        <v>115</v>
      </c>
      <c r="D24" s="15">
        <v>201901</v>
      </c>
      <c r="E24" s="15">
        <v>202506</v>
      </c>
      <c r="F24" s="15">
        <v>165.37799999999999</v>
      </c>
      <c r="G24" s="8" t="s">
        <v>30</v>
      </c>
      <c r="H24" s="2" t="s">
        <v>31</v>
      </c>
      <c r="I24" s="8" t="s">
        <v>30</v>
      </c>
      <c r="J24" s="8" t="s">
        <v>66</v>
      </c>
      <c r="K24" s="17" t="str">
        <f>VLOOKUP(Requête1[[#This Row],[CD_GRP_ABS]],dim_absences_grp!A:B,2,0)</f>
        <v>FOR</v>
      </c>
      <c r="L24" s="2" t="s">
        <v>67</v>
      </c>
      <c r="M24" s="8" t="s">
        <v>34</v>
      </c>
      <c r="N24" s="2" t="s">
        <v>35</v>
      </c>
      <c r="O24" s="8" t="s">
        <v>66</v>
      </c>
      <c r="P24" s="2" t="s">
        <v>67</v>
      </c>
      <c r="Q24" s="2" t="s">
        <v>103</v>
      </c>
      <c r="R24" s="8" t="s">
        <v>340</v>
      </c>
      <c r="S24" s="2" t="s">
        <v>37</v>
      </c>
      <c r="T24" s="2" t="s">
        <v>38</v>
      </c>
      <c r="U24" s="1">
        <v>45273</v>
      </c>
    </row>
    <row r="25" spans="1:21" x14ac:dyDescent="0.2">
      <c r="A25" s="8" t="s">
        <v>116</v>
      </c>
      <c r="B25" s="2" t="s">
        <v>117</v>
      </c>
      <c r="C25" s="2" t="s">
        <v>118</v>
      </c>
      <c r="D25" s="15">
        <v>202203</v>
      </c>
      <c r="E25" s="15">
        <v>202504</v>
      </c>
      <c r="F25" s="15">
        <v>0.34</v>
      </c>
      <c r="G25" s="8" t="s">
        <v>30</v>
      </c>
      <c r="H25" s="2" t="s">
        <v>31</v>
      </c>
      <c r="I25" s="8" t="s">
        <v>30</v>
      </c>
      <c r="J25" s="8" t="s">
        <v>58</v>
      </c>
      <c r="K25" s="17" t="str">
        <f>VLOOKUP(Requête1[[#This Row],[CD_GRP_ABS]],dim_absences_grp!A:B,2,0)</f>
        <v>DIV</v>
      </c>
      <c r="L25" s="2" t="s">
        <v>59</v>
      </c>
      <c r="M25" s="8" t="s">
        <v>34</v>
      </c>
      <c r="N25" s="2" t="s">
        <v>35</v>
      </c>
      <c r="O25" s="8" t="s">
        <v>58</v>
      </c>
      <c r="P25" s="2" t="s">
        <v>59</v>
      </c>
      <c r="Q25" s="2" t="s">
        <v>118</v>
      </c>
      <c r="R25" s="8" t="s">
        <v>340</v>
      </c>
      <c r="S25" s="2" t="s">
        <v>37</v>
      </c>
      <c r="T25" s="2" t="s">
        <v>38</v>
      </c>
      <c r="U25" s="1">
        <v>45273</v>
      </c>
    </row>
    <row r="26" spans="1:21" x14ac:dyDescent="0.2">
      <c r="A26" s="8" t="s">
        <v>119</v>
      </c>
      <c r="B26" s="2" t="s">
        <v>120</v>
      </c>
      <c r="C26" s="2" t="s">
        <v>121</v>
      </c>
      <c r="D26" s="15">
        <v>201901</v>
      </c>
      <c r="E26" s="15">
        <v>202506</v>
      </c>
      <c r="F26" s="15">
        <v>2334.6089999999999</v>
      </c>
      <c r="G26" s="8" t="s">
        <v>30</v>
      </c>
      <c r="H26" s="2" t="s">
        <v>31</v>
      </c>
      <c r="I26" s="8" t="s">
        <v>30</v>
      </c>
      <c r="J26" s="8" t="s">
        <v>42</v>
      </c>
      <c r="K26" s="17" t="str">
        <f>VLOOKUP(Requête1[[#This Row],[CD_GRP_ABS]],dim_absences_grp!A:B,2,0)</f>
        <v>CMF</v>
      </c>
      <c r="L26" s="2" t="s">
        <v>43</v>
      </c>
      <c r="M26" s="8" t="s">
        <v>34</v>
      </c>
      <c r="N26" s="2" t="s">
        <v>35</v>
      </c>
      <c r="O26" s="8" t="s">
        <v>42</v>
      </c>
      <c r="P26" s="2" t="s">
        <v>43</v>
      </c>
      <c r="Q26" s="2" t="s">
        <v>122</v>
      </c>
      <c r="R26" s="8" t="s">
        <v>340</v>
      </c>
      <c r="S26" s="2" t="s">
        <v>37</v>
      </c>
      <c r="T26" s="2" t="s">
        <v>38</v>
      </c>
      <c r="U26" s="1">
        <v>45273</v>
      </c>
    </row>
    <row r="27" spans="1:21" x14ac:dyDescent="0.2">
      <c r="A27" s="8" t="s">
        <v>123</v>
      </c>
      <c r="B27" s="2" t="s">
        <v>124</v>
      </c>
      <c r="C27" s="2" t="s">
        <v>125</v>
      </c>
      <c r="D27" s="15">
        <v>201901</v>
      </c>
      <c r="E27" s="15">
        <v>202506</v>
      </c>
      <c r="F27" s="15">
        <v>14234.914000000001</v>
      </c>
      <c r="G27" s="8" t="s">
        <v>30</v>
      </c>
      <c r="H27" s="2" t="s">
        <v>31</v>
      </c>
      <c r="I27" s="8" t="s">
        <v>30</v>
      </c>
      <c r="J27" s="8" t="s">
        <v>58</v>
      </c>
      <c r="K27" s="17" t="str">
        <f>VLOOKUP(Requête1[[#This Row],[CD_GRP_ABS]],dim_absences_grp!A:B,2,0)</f>
        <v>DIV</v>
      </c>
      <c r="L27" s="2" t="s">
        <v>59</v>
      </c>
      <c r="M27" s="8" t="s">
        <v>34</v>
      </c>
      <c r="N27" s="2" t="s">
        <v>35</v>
      </c>
      <c r="O27" s="8" t="s">
        <v>58</v>
      </c>
      <c r="P27" s="2" t="s">
        <v>59</v>
      </c>
      <c r="Q27" s="2" t="s">
        <v>125</v>
      </c>
      <c r="R27" s="8" t="s">
        <v>340</v>
      </c>
      <c r="S27" s="2" t="s">
        <v>37</v>
      </c>
      <c r="T27" s="2" t="s">
        <v>38</v>
      </c>
      <c r="U27" s="1">
        <v>45273</v>
      </c>
    </row>
    <row r="28" spans="1:21" x14ac:dyDescent="0.2">
      <c r="A28" s="8" t="s">
        <v>126</v>
      </c>
      <c r="B28" s="2" t="s">
        <v>127</v>
      </c>
      <c r="C28" s="2" t="s">
        <v>128</v>
      </c>
      <c r="D28" s="15">
        <v>202304</v>
      </c>
      <c r="E28" s="15">
        <v>202304</v>
      </c>
      <c r="F28" s="15">
        <v>0.432</v>
      </c>
      <c r="G28" s="8" t="s">
        <v>30</v>
      </c>
      <c r="H28" s="2" t="s">
        <v>31</v>
      </c>
      <c r="I28" s="8" t="s">
        <v>30</v>
      </c>
      <c r="J28" s="8" t="s">
        <v>85</v>
      </c>
      <c r="K28" s="17" t="str">
        <f>VLOOKUP(Requête1[[#This Row],[CD_GRP_ABS]],dim_absences_grp!A:B,2,0)</f>
        <v>CBO</v>
      </c>
      <c r="L28" s="2" t="s">
        <v>86</v>
      </c>
      <c r="M28" s="8" t="s">
        <v>34</v>
      </c>
      <c r="N28" s="2" t="s">
        <v>35</v>
      </c>
      <c r="O28" s="8" t="s">
        <v>85</v>
      </c>
      <c r="P28" s="2" t="s">
        <v>86</v>
      </c>
      <c r="Q28" s="2" t="s">
        <v>128</v>
      </c>
      <c r="R28" s="8" t="s">
        <v>340</v>
      </c>
      <c r="S28" s="2" t="s">
        <v>37</v>
      </c>
      <c r="T28" s="2" t="s">
        <v>38</v>
      </c>
      <c r="U28" s="1">
        <v>45273</v>
      </c>
    </row>
    <row r="29" spans="1:21" x14ac:dyDescent="0.2">
      <c r="A29" s="8" t="s">
        <v>129</v>
      </c>
      <c r="B29" s="2" t="s">
        <v>130</v>
      </c>
      <c r="C29" s="2" t="s">
        <v>131</v>
      </c>
      <c r="D29" s="15">
        <v>201901</v>
      </c>
      <c r="E29" s="15">
        <v>202503</v>
      </c>
      <c r="F29" s="15">
        <v>2.1379999999999999</v>
      </c>
      <c r="G29" s="8" t="s">
        <v>30</v>
      </c>
      <c r="H29" s="2" t="s">
        <v>31</v>
      </c>
      <c r="I29" s="8" t="s">
        <v>30</v>
      </c>
      <c r="J29" s="8" t="s">
        <v>58</v>
      </c>
      <c r="K29" s="17" t="str">
        <f>VLOOKUP(Requête1[[#This Row],[CD_GRP_ABS]],dim_absences_grp!A:B,2,0)</f>
        <v>DIV</v>
      </c>
      <c r="L29" s="2" t="s">
        <v>59</v>
      </c>
      <c r="M29" s="8" t="s">
        <v>34</v>
      </c>
      <c r="N29" s="2" t="s">
        <v>35</v>
      </c>
      <c r="O29" s="8" t="s">
        <v>58</v>
      </c>
      <c r="P29" s="2" t="s">
        <v>59</v>
      </c>
      <c r="Q29" s="2" t="s">
        <v>107</v>
      </c>
      <c r="R29" s="8" t="s">
        <v>340</v>
      </c>
      <c r="S29" s="2" t="s">
        <v>37</v>
      </c>
      <c r="T29" s="2" t="s">
        <v>38</v>
      </c>
      <c r="U29" s="1">
        <v>45273</v>
      </c>
    </row>
    <row r="30" spans="1:21" s="4" customFormat="1" x14ac:dyDescent="0.2">
      <c r="A30" s="7" t="s">
        <v>132</v>
      </c>
      <c r="B30" s="3" t="s">
        <v>133</v>
      </c>
      <c r="C30" s="3" t="s">
        <v>133</v>
      </c>
      <c r="D30" s="14"/>
      <c r="E30" s="14"/>
      <c r="F30" s="14"/>
      <c r="G30" s="7" t="s">
        <v>30</v>
      </c>
      <c r="H30" s="3" t="s">
        <v>31</v>
      </c>
      <c r="I30" s="7" t="s">
        <v>30</v>
      </c>
      <c r="J30" s="7" t="s">
        <v>42</v>
      </c>
      <c r="K30" s="16" t="str">
        <f>VLOOKUP(Requête1[[#This Row],[CD_GRP_ABS]],dim_absences_grp!A:B,2,0)</f>
        <v>CMF</v>
      </c>
      <c r="L30" s="3" t="s">
        <v>43</v>
      </c>
      <c r="M30" s="7" t="s">
        <v>34</v>
      </c>
      <c r="N30" s="3" t="s">
        <v>35</v>
      </c>
      <c r="O30" s="7" t="s">
        <v>42</v>
      </c>
      <c r="P30" s="3" t="s">
        <v>43</v>
      </c>
      <c r="Q30" s="3" t="s">
        <v>133</v>
      </c>
      <c r="R30" s="7" t="s">
        <v>340</v>
      </c>
      <c r="S30" s="3" t="s">
        <v>37</v>
      </c>
      <c r="T30" s="3" t="s">
        <v>38</v>
      </c>
      <c r="U30" s="5">
        <v>45273</v>
      </c>
    </row>
    <row r="31" spans="1:21" x14ac:dyDescent="0.2">
      <c r="A31" s="8" t="s">
        <v>134</v>
      </c>
      <c r="B31" s="2" t="s">
        <v>135</v>
      </c>
      <c r="C31" s="2" t="s">
        <v>135</v>
      </c>
      <c r="D31" s="15">
        <v>201901</v>
      </c>
      <c r="E31" s="15">
        <v>202506</v>
      </c>
      <c r="F31" s="15">
        <v>321.71699999999998</v>
      </c>
      <c r="G31" s="8" t="s">
        <v>30</v>
      </c>
      <c r="H31" s="2" t="s">
        <v>31</v>
      </c>
      <c r="I31" s="8" t="s">
        <v>30</v>
      </c>
      <c r="J31" s="8" t="s">
        <v>42</v>
      </c>
      <c r="K31" s="17" t="str">
        <f>VLOOKUP(Requête1[[#This Row],[CD_GRP_ABS]],dim_absences_grp!A:B,2,0)</f>
        <v>CMF</v>
      </c>
      <c r="L31" s="2" t="s">
        <v>43</v>
      </c>
      <c r="M31" s="8" t="s">
        <v>34</v>
      </c>
      <c r="N31" s="2" t="s">
        <v>35</v>
      </c>
      <c r="O31" s="8" t="s">
        <v>42</v>
      </c>
      <c r="P31" s="2" t="s">
        <v>43</v>
      </c>
      <c r="Q31" s="2" t="s">
        <v>135</v>
      </c>
      <c r="R31" s="8" t="s">
        <v>340</v>
      </c>
      <c r="S31" s="2" t="s">
        <v>37</v>
      </c>
      <c r="T31" s="2" t="s">
        <v>38</v>
      </c>
      <c r="U31" s="1">
        <v>45273</v>
      </c>
    </row>
    <row r="32" spans="1:21" x14ac:dyDescent="0.2">
      <c r="A32" s="8" t="s">
        <v>136</v>
      </c>
      <c r="B32" s="2" t="s">
        <v>137</v>
      </c>
      <c r="C32" s="2" t="s">
        <v>137</v>
      </c>
      <c r="D32" s="15">
        <v>201901</v>
      </c>
      <c r="E32" s="15">
        <v>202506</v>
      </c>
      <c r="F32" s="15">
        <v>6867.0889999999999</v>
      </c>
      <c r="G32" s="8" t="s">
        <v>30</v>
      </c>
      <c r="H32" s="2" t="s">
        <v>31</v>
      </c>
      <c r="I32" s="8" t="s">
        <v>30</v>
      </c>
      <c r="J32" s="8" t="s">
        <v>42</v>
      </c>
      <c r="K32" s="17" t="str">
        <f>VLOOKUP(Requête1[[#This Row],[CD_GRP_ABS]],dim_absences_grp!A:B,2,0)</f>
        <v>CMF</v>
      </c>
      <c r="L32" s="2" t="s">
        <v>43</v>
      </c>
      <c r="M32" s="8" t="s">
        <v>34</v>
      </c>
      <c r="N32" s="2" t="s">
        <v>35</v>
      </c>
      <c r="O32" s="8" t="s">
        <v>42</v>
      </c>
      <c r="P32" s="2" t="s">
        <v>43</v>
      </c>
      <c r="Q32" s="2" t="s">
        <v>137</v>
      </c>
      <c r="R32" s="8" t="s">
        <v>340</v>
      </c>
      <c r="S32" s="2" t="s">
        <v>37</v>
      </c>
      <c r="T32" s="2" t="s">
        <v>38</v>
      </c>
      <c r="U32" s="1">
        <v>45273</v>
      </c>
    </row>
    <row r="33" spans="1:21" s="4" customFormat="1" x14ac:dyDescent="0.2">
      <c r="A33" s="7" t="s">
        <v>138</v>
      </c>
      <c r="B33" s="3" t="s">
        <v>139</v>
      </c>
      <c r="C33" s="3" t="s">
        <v>140</v>
      </c>
      <c r="D33" s="14"/>
      <c r="E33" s="14"/>
      <c r="F33" s="14"/>
      <c r="G33" s="7" t="s">
        <v>30</v>
      </c>
      <c r="H33" s="3" t="s">
        <v>31</v>
      </c>
      <c r="I33" s="7" t="s">
        <v>30</v>
      </c>
      <c r="J33" s="7" t="s">
        <v>66</v>
      </c>
      <c r="K33" s="16" t="str">
        <f>VLOOKUP(Requête1[[#This Row],[CD_GRP_ABS]],dim_absences_grp!A:B,2,0)</f>
        <v>FOR</v>
      </c>
      <c r="L33" s="3" t="s">
        <v>67</v>
      </c>
      <c r="M33" s="7" t="s">
        <v>34</v>
      </c>
      <c r="N33" s="3" t="s">
        <v>35</v>
      </c>
      <c r="O33" s="7" t="s">
        <v>66</v>
      </c>
      <c r="P33" s="3" t="s">
        <v>67</v>
      </c>
      <c r="Q33" s="3" t="s">
        <v>107</v>
      </c>
      <c r="R33" s="7" t="s">
        <v>340</v>
      </c>
      <c r="S33" s="3" t="s">
        <v>37</v>
      </c>
      <c r="T33" s="3" t="s">
        <v>38</v>
      </c>
      <c r="U33" s="5">
        <v>45273</v>
      </c>
    </row>
    <row r="34" spans="1:21" x14ac:dyDescent="0.2">
      <c r="A34" s="8" t="s">
        <v>141</v>
      </c>
      <c r="B34" s="2" t="s">
        <v>142</v>
      </c>
      <c r="C34" s="2" t="s">
        <v>143</v>
      </c>
      <c r="D34" s="15">
        <v>201901</v>
      </c>
      <c r="E34" s="15">
        <v>202506</v>
      </c>
      <c r="F34" s="15">
        <v>463.48200000000003</v>
      </c>
      <c r="G34" s="8" t="s">
        <v>30</v>
      </c>
      <c r="H34" s="2" t="s">
        <v>31</v>
      </c>
      <c r="I34" s="8" t="s">
        <v>30</v>
      </c>
      <c r="J34" s="8" t="s">
        <v>144</v>
      </c>
      <c r="K34" s="17" t="str">
        <f>VLOOKUP(Requête1[[#This Row],[CD_GRP_ABS]],dim_absences_grp!A:B,2,0)</f>
        <v>SUS</v>
      </c>
      <c r="L34" s="2" t="s">
        <v>145</v>
      </c>
      <c r="M34" s="8" t="s">
        <v>34</v>
      </c>
      <c r="N34" s="2" t="s">
        <v>35</v>
      </c>
      <c r="O34" s="8" t="s">
        <v>144</v>
      </c>
      <c r="P34" s="2" t="s">
        <v>145</v>
      </c>
      <c r="Q34" s="2" t="s">
        <v>143</v>
      </c>
      <c r="R34" s="8" t="s">
        <v>340</v>
      </c>
      <c r="S34" s="2" t="s">
        <v>37</v>
      </c>
      <c r="T34" s="2" t="s">
        <v>38</v>
      </c>
      <c r="U34" s="1">
        <v>45273</v>
      </c>
    </row>
    <row r="35" spans="1:21" x14ac:dyDescent="0.2">
      <c r="A35" s="8" t="s">
        <v>146</v>
      </c>
      <c r="B35" s="2" t="s">
        <v>147</v>
      </c>
      <c r="C35" s="2" t="s">
        <v>148</v>
      </c>
      <c r="D35" s="15">
        <v>201901</v>
      </c>
      <c r="E35" s="15">
        <v>202506</v>
      </c>
      <c r="F35" s="15">
        <v>141.53200000000001</v>
      </c>
      <c r="G35" s="8" t="s">
        <v>30</v>
      </c>
      <c r="H35" s="2" t="s">
        <v>31</v>
      </c>
      <c r="I35" s="8" t="s">
        <v>30</v>
      </c>
      <c r="J35" s="8" t="s">
        <v>66</v>
      </c>
      <c r="K35" s="17" t="str">
        <f>VLOOKUP(Requête1[[#This Row],[CD_GRP_ABS]],dim_absences_grp!A:B,2,0)</f>
        <v>FOR</v>
      </c>
      <c r="L35" s="2" t="s">
        <v>67</v>
      </c>
      <c r="M35" s="8" t="s">
        <v>34</v>
      </c>
      <c r="N35" s="2" t="s">
        <v>35</v>
      </c>
      <c r="O35" s="8" t="s">
        <v>66</v>
      </c>
      <c r="P35" s="2" t="s">
        <v>67</v>
      </c>
      <c r="Q35" s="2" t="s">
        <v>148</v>
      </c>
      <c r="R35" s="8" t="s">
        <v>340</v>
      </c>
      <c r="S35" s="2" t="s">
        <v>37</v>
      </c>
      <c r="T35" s="2" t="s">
        <v>38</v>
      </c>
      <c r="U35" s="1">
        <v>45273</v>
      </c>
    </row>
    <row r="36" spans="1:21" x14ac:dyDescent="0.2">
      <c r="A36" s="8" t="s">
        <v>149</v>
      </c>
      <c r="B36" s="2" t="s">
        <v>150</v>
      </c>
      <c r="C36" s="2" t="s">
        <v>151</v>
      </c>
      <c r="D36" s="15">
        <v>201901</v>
      </c>
      <c r="E36" s="15">
        <v>202506</v>
      </c>
      <c r="F36" s="15">
        <v>131.405</v>
      </c>
      <c r="G36" s="8" t="s">
        <v>30</v>
      </c>
      <c r="H36" s="2" t="s">
        <v>31</v>
      </c>
      <c r="I36" s="8" t="s">
        <v>30</v>
      </c>
      <c r="J36" s="8" t="s">
        <v>152</v>
      </c>
      <c r="K36" s="17" t="str">
        <f>VLOOKUP(Requête1[[#This Row],[CD_GRP_ABS]],dim_absences_grp!A:B,2,0)</f>
        <v>SYN</v>
      </c>
      <c r="L36" s="2" t="s">
        <v>153</v>
      </c>
      <c r="M36" s="8" t="s">
        <v>34</v>
      </c>
      <c r="N36" s="2" t="s">
        <v>35</v>
      </c>
      <c r="O36" s="8" t="s">
        <v>152</v>
      </c>
      <c r="P36" s="2" t="s">
        <v>153</v>
      </c>
      <c r="Q36" s="2" t="s">
        <v>154</v>
      </c>
      <c r="R36" s="8" t="s">
        <v>340</v>
      </c>
      <c r="S36" s="2" t="s">
        <v>37</v>
      </c>
      <c r="T36" s="2" t="s">
        <v>38</v>
      </c>
      <c r="U36" s="1">
        <v>45273</v>
      </c>
    </row>
    <row r="37" spans="1:21" s="4" customFormat="1" x14ac:dyDescent="0.2">
      <c r="A37" s="7" t="s">
        <v>155</v>
      </c>
      <c r="B37" s="3" t="s">
        <v>156</v>
      </c>
      <c r="C37" s="3" t="s">
        <v>156</v>
      </c>
      <c r="D37" s="14"/>
      <c r="E37" s="14"/>
      <c r="F37" s="14"/>
      <c r="G37" s="7" t="s">
        <v>30</v>
      </c>
      <c r="H37" s="3" t="s">
        <v>31</v>
      </c>
      <c r="I37" s="7" t="s">
        <v>30</v>
      </c>
      <c r="J37" s="7" t="s">
        <v>58</v>
      </c>
      <c r="K37" s="16" t="str">
        <f>VLOOKUP(Requête1[[#This Row],[CD_GRP_ABS]],dim_absences_grp!A:B,2,0)</f>
        <v>DIV</v>
      </c>
      <c r="L37" s="3" t="s">
        <v>59</v>
      </c>
      <c r="M37" s="7" t="s">
        <v>34</v>
      </c>
      <c r="N37" s="3" t="s">
        <v>35</v>
      </c>
      <c r="O37" s="7" t="s">
        <v>58</v>
      </c>
      <c r="P37" s="3" t="s">
        <v>59</v>
      </c>
      <c r="Q37" s="3" t="s">
        <v>156</v>
      </c>
      <c r="R37" s="7" t="s">
        <v>340</v>
      </c>
      <c r="S37" s="3" t="s">
        <v>37</v>
      </c>
      <c r="T37" s="3" t="s">
        <v>38</v>
      </c>
      <c r="U37" s="5">
        <v>45273</v>
      </c>
    </row>
    <row r="38" spans="1:21" x14ac:dyDescent="0.2">
      <c r="A38" s="8" t="s">
        <v>157</v>
      </c>
      <c r="B38" s="2" t="s">
        <v>158</v>
      </c>
      <c r="C38" s="2" t="s">
        <v>159</v>
      </c>
      <c r="D38" s="15">
        <v>201901</v>
      </c>
      <c r="E38" s="15">
        <v>202506</v>
      </c>
      <c r="F38" s="15">
        <v>1101.4749999999999</v>
      </c>
      <c r="G38" s="8" t="s">
        <v>22</v>
      </c>
      <c r="H38" s="2" t="s">
        <v>23</v>
      </c>
      <c r="I38" s="8" t="s">
        <v>24</v>
      </c>
      <c r="J38" s="8" t="s">
        <v>160</v>
      </c>
      <c r="K38" s="17" t="str">
        <f>VLOOKUP(Requête1[[#This Row],[CD_GRP_ABS]],dim_absences_grp!A:B,2,0)</f>
        <v>CLM</v>
      </c>
      <c r="L38" s="2" t="s">
        <v>161</v>
      </c>
      <c r="M38" s="8" t="s">
        <v>22</v>
      </c>
      <c r="N38" s="2" t="s">
        <v>23</v>
      </c>
      <c r="O38" s="8" t="s">
        <v>160</v>
      </c>
      <c r="P38" s="2" t="s">
        <v>161</v>
      </c>
      <c r="Q38" s="2" t="s">
        <v>162</v>
      </c>
      <c r="R38" s="8" t="s">
        <v>343</v>
      </c>
      <c r="S38" s="2" t="s">
        <v>163</v>
      </c>
      <c r="T38" s="2" t="s">
        <v>25</v>
      </c>
      <c r="U38" s="1">
        <v>45273</v>
      </c>
    </row>
    <row r="39" spans="1:21" x14ac:dyDescent="0.2">
      <c r="A39" s="8" t="s">
        <v>164</v>
      </c>
      <c r="B39" s="2" t="s">
        <v>165</v>
      </c>
      <c r="C39" s="2" t="s">
        <v>166</v>
      </c>
      <c r="D39" s="15">
        <v>201901</v>
      </c>
      <c r="E39" s="15">
        <v>202506</v>
      </c>
      <c r="F39" s="15">
        <v>9154.3940000000002</v>
      </c>
      <c r="G39" s="8" t="s">
        <v>22</v>
      </c>
      <c r="H39" s="2" t="s">
        <v>23</v>
      </c>
      <c r="I39" s="8" t="s">
        <v>24</v>
      </c>
      <c r="J39" s="8" t="s">
        <v>25</v>
      </c>
      <c r="K39" s="17" t="str">
        <f>VLOOKUP(Requête1[[#This Row],[CD_GRP_ABS]],dim_absences_grp!A:B,2,0)</f>
        <v>MAL</v>
      </c>
      <c r="L39" s="2" t="s">
        <v>26</v>
      </c>
      <c r="M39" s="8" t="s">
        <v>22</v>
      </c>
      <c r="N39" s="2" t="s">
        <v>23</v>
      </c>
      <c r="O39" s="8" t="s">
        <v>25</v>
      </c>
      <c r="P39" s="2" t="s">
        <v>26</v>
      </c>
      <c r="Q39" s="2" t="s">
        <v>166</v>
      </c>
      <c r="R39" s="8" t="s">
        <v>339</v>
      </c>
      <c r="S39" s="2" t="s">
        <v>27</v>
      </c>
      <c r="T39" s="2" t="s">
        <v>48</v>
      </c>
      <c r="U39" s="1">
        <v>45273</v>
      </c>
    </row>
    <row r="40" spans="1:21" s="4" customFormat="1" x14ac:dyDescent="0.2">
      <c r="A40" s="7" t="s">
        <v>167</v>
      </c>
      <c r="B40" s="3" t="s">
        <v>168</v>
      </c>
      <c r="C40" s="3" t="s">
        <v>168</v>
      </c>
      <c r="D40" s="14"/>
      <c r="E40" s="14"/>
      <c r="F40" s="14"/>
      <c r="G40" s="7" t="s">
        <v>30</v>
      </c>
      <c r="H40" s="3" t="s">
        <v>31</v>
      </c>
      <c r="I40" s="7" t="s">
        <v>30</v>
      </c>
      <c r="J40" s="7" t="s">
        <v>58</v>
      </c>
      <c r="K40" s="16" t="str">
        <f>VLOOKUP(Requête1[[#This Row],[CD_GRP_ABS]],dim_absences_grp!A:B,2,0)</f>
        <v>DIV</v>
      </c>
      <c r="L40" s="3" t="s">
        <v>59</v>
      </c>
      <c r="M40" s="7" t="s">
        <v>34</v>
      </c>
      <c r="N40" s="3" t="s">
        <v>35</v>
      </c>
      <c r="O40" s="7" t="s">
        <v>58</v>
      </c>
      <c r="P40" s="3" t="s">
        <v>59</v>
      </c>
      <c r="Q40" s="3" t="s">
        <v>68</v>
      </c>
      <c r="R40" s="7" t="s">
        <v>340</v>
      </c>
      <c r="S40" s="3" t="s">
        <v>37</v>
      </c>
      <c r="T40" s="3" t="s">
        <v>38</v>
      </c>
      <c r="U40" s="5">
        <v>45273</v>
      </c>
    </row>
    <row r="41" spans="1:21" s="4" customFormat="1" x14ac:dyDescent="0.2">
      <c r="A41" s="7" t="s">
        <v>169</v>
      </c>
      <c r="B41" s="3" t="s">
        <v>170</v>
      </c>
      <c r="C41" s="3" t="s">
        <v>170</v>
      </c>
      <c r="D41" s="14"/>
      <c r="E41" s="14"/>
      <c r="F41" s="14"/>
      <c r="G41" s="7" t="s">
        <v>30</v>
      </c>
      <c r="H41" s="3" t="s">
        <v>31</v>
      </c>
      <c r="I41" s="7" t="s">
        <v>30</v>
      </c>
      <c r="J41" s="7" t="s">
        <v>58</v>
      </c>
      <c r="K41" s="16" t="str">
        <f>VLOOKUP(Requête1[[#This Row],[CD_GRP_ABS]],dim_absences_grp!A:B,2,0)</f>
        <v>DIV</v>
      </c>
      <c r="L41" s="3" t="s">
        <v>59</v>
      </c>
      <c r="M41" s="7" t="s">
        <v>34</v>
      </c>
      <c r="N41" s="3" t="s">
        <v>35</v>
      </c>
      <c r="O41" s="7" t="s">
        <v>58</v>
      </c>
      <c r="P41" s="3" t="s">
        <v>59</v>
      </c>
      <c r="Q41" s="3" t="s">
        <v>171</v>
      </c>
      <c r="R41" s="7" t="s">
        <v>340</v>
      </c>
      <c r="S41" s="3" t="s">
        <v>37</v>
      </c>
      <c r="T41" s="3" t="s">
        <v>38</v>
      </c>
      <c r="U41" s="5">
        <v>45273</v>
      </c>
    </row>
    <row r="42" spans="1:21" x14ac:dyDescent="0.2">
      <c r="A42" s="8" t="s">
        <v>172</v>
      </c>
      <c r="B42" s="2" t="s">
        <v>173</v>
      </c>
      <c r="C42" s="2" t="s">
        <v>174</v>
      </c>
      <c r="D42" s="15">
        <v>201901</v>
      </c>
      <c r="E42" s="15">
        <v>202506</v>
      </c>
      <c r="F42" s="15">
        <v>991.01499999999999</v>
      </c>
      <c r="G42" s="8" t="s">
        <v>30</v>
      </c>
      <c r="H42" s="2" t="s">
        <v>31</v>
      </c>
      <c r="I42" s="8" t="s">
        <v>30</v>
      </c>
      <c r="J42" s="8" t="s">
        <v>58</v>
      </c>
      <c r="K42" s="17" t="str">
        <f>VLOOKUP(Requête1[[#This Row],[CD_GRP_ABS]],dim_absences_grp!A:B,2,0)</f>
        <v>DIV</v>
      </c>
      <c r="L42" s="2" t="s">
        <v>59</v>
      </c>
      <c r="M42" s="8" t="s">
        <v>34</v>
      </c>
      <c r="N42" s="2" t="s">
        <v>35</v>
      </c>
      <c r="O42" s="8" t="s">
        <v>58</v>
      </c>
      <c r="P42" s="2" t="s">
        <v>59</v>
      </c>
      <c r="Q42" s="2" t="s">
        <v>175</v>
      </c>
      <c r="R42" s="8" t="s">
        <v>340</v>
      </c>
      <c r="S42" s="2" t="s">
        <v>37</v>
      </c>
      <c r="T42" s="2" t="s">
        <v>38</v>
      </c>
      <c r="U42" s="1">
        <v>45273</v>
      </c>
    </row>
    <row r="43" spans="1:21" x14ac:dyDescent="0.2">
      <c r="A43" s="8" t="s">
        <v>176</v>
      </c>
      <c r="B43" s="2" t="s">
        <v>177</v>
      </c>
      <c r="C43" s="2" t="s">
        <v>178</v>
      </c>
      <c r="D43" s="15">
        <v>201901</v>
      </c>
      <c r="E43" s="15">
        <v>202506</v>
      </c>
      <c r="F43" s="15">
        <v>455.459</v>
      </c>
      <c r="G43" s="8" t="s">
        <v>22</v>
      </c>
      <c r="H43" s="2" t="s">
        <v>23</v>
      </c>
      <c r="I43" s="8" t="s">
        <v>24</v>
      </c>
      <c r="J43" s="8" t="s">
        <v>25</v>
      </c>
      <c r="K43" s="17" t="str">
        <f>VLOOKUP(Requête1[[#This Row],[CD_GRP_ABS]],dim_absences_grp!A:B,2,0)</f>
        <v>MAL</v>
      </c>
      <c r="L43" s="2" t="s">
        <v>26</v>
      </c>
      <c r="M43" s="8" t="s">
        <v>22</v>
      </c>
      <c r="N43" s="2" t="s">
        <v>23</v>
      </c>
      <c r="O43" s="8" t="s">
        <v>25</v>
      </c>
      <c r="P43" s="2" t="s">
        <v>26</v>
      </c>
      <c r="Q43" s="2" t="s">
        <v>112</v>
      </c>
      <c r="R43" s="8" t="s">
        <v>339</v>
      </c>
      <c r="S43" s="2" t="s">
        <v>27</v>
      </c>
      <c r="T43" s="2" t="s">
        <v>25</v>
      </c>
      <c r="U43" s="1">
        <v>45273</v>
      </c>
    </row>
    <row r="44" spans="1:21" x14ac:dyDescent="0.2">
      <c r="A44" s="8" t="s">
        <v>179</v>
      </c>
      <c r="B44" s="2" t="s">
        <v>180</v>
      </c>
      <c r="C44" s="2" t="s">
        <v>181</v>
      </c>
      <c r="D44" s="15">
        <v>201903</v>
      </c>
      <c r="E44" s="15">
        <v>202506</v>
      </c>
      <c r="F44" s="15">
        <v>5.1079999999999997</v>
      </c>
      <c r="G44" s="8" t="s">
        <v>30</v>
      </c>
      <c r="H44" s="2" t="s">
        <v>31</v>
      </c>
      <c r="I44" s="8" t="s">
        <v>30</v>
      </c>
      <c r="J44" s="8" t="s">
        <v>58</v>
      </c>
      <c r="K44" s="17" t="str">
        <f>VLOOKUP(Requête1[[#This Row],[CD_GRP_ABS]],dim_absences_grp!A:B,2,0)</f>
        <v>DIV</v>
      </c>
      <c r="L44" s="2" t="s">
        <v>59</v>
      </c>
      <c r="M44" s="8" t="s">
        <v>34</v>
      </c>
      <c r="N44" s="2" t="s">
        <v>35</v>
      </c>
      <c r="O44" s="8" t="s">
        <v>58</v>
      </c>
      <c r="P44" s="2" t="s">
        <v>59</v>
      </c>
      <c r="Q44" s="2" t="s">
        <v>181</v>
      </c>
      <c r="R44" s="8" t="s">
        <v>340</v>
      </c>
      <c r="S44" s="2" t="s">
        <v>37</v>
      </c>
      <c r="T44" s="2" t="s">
        <v>38</v>
      </c>
      <c r="U44" s="1">
        <v>45273</v>
      </c>
    </row>
    <row r="45" spans="1:21" x14ac:dyDescent="0.2">
      <c r="A45" s="8" t="s">
        <v>182</v>
      </c>
      <c r="B45" s="2" t="s">
        <v>183</v>
      </c>
      <c r="C45" s="2" t="s">
        <v>183</v>
      </c>
      <c r="D45" s="15">
        <v>202310</v>
      </c>
      <c r="E45" s="15">
        <v>202411</v>
      </c>
      <c r="F45" s="15">
        <v>0.26</v>
      </c>
      <c r="G45" s="8" t="s">
        <v>30</v>
      </c>
      <c r="H45" s="2" t="s">
        <v>31</v>
      </c>
      <c r="I45" s="8" t="s">
        <v>30</v>
      </c>
      <c r="J45" s="8" t="s">
        <v>58</v>
      </c>
      <c r="K45" s="17" t="str">
        <f>VLOOKUP(Requête1[[#This Row],[CD_GRP_ABS]],dim_absences_grp!A:B,2,0)</f>
        <v>DIV</v>
      </c>
      <c r="L45" s="2" t="s">
        <v>59</v>
      </c>
      <c r="M45" s="8" t="s">
        <v>34</v>
      </c>
      <c r="N45" s="2" t="s">
        <v>35</v>
      </c>
      <c r="O45" s="8" t="s">
        <v>58</v>
      </c>
      <c r="P45" s="2" t="s">
        <v>59</v>
      </c>
      <c r="Q45" s="2" t="s">
        <v>107</v>
      </c>
      <c r="R45" s="8" t="s">
        <v>340</v>
      </c>
      <c r="S45" s="2" t="s">
        <v>37</v>
      </c>
      <c r="T45" s="2" t="s">
        <v>38</v>
      </c>
      <c r="U45" s="1">
        <v>45273</v>
      </c>
    </row>
    <row r="46" spans="1:21" s="4" customFormat="1" x14ac:dyDescent="0.2">
      <c r="A46" s="7" t="s">
        <v>184</v>
      </c>
      <c r="B46" s="3" t="s">
        <v>185</v>
      </c>
      <c r="C46" s="3" t="s">
        <v>185</v>
      </c>
      <c r="D46" s="14"/>
      <c r="E46" s="14"/>
      <c r="F46" s="14"/>
      <c r="G46" s="7" t="s">
        <v>30</v>
      </c>
      <c r="H46" s="3" t="s">
        <v>31</v>
      </c>
      <c r="I46" s="7" t="s">
        <v>30</v>
      </c>
      <c r="J46" s="7" t="s">
        <v>85</v>
      </c>
      <c r="K46" s="16" t="str">
        <f>VLOOKUP(Requête1[[#This Row],[CD_GRP_ABS]],dim_absences_grp!A:B,2,0)</f>
        <v>CBO</v>
      </c>
      <c r="L46" s="3" t="s">
        <v>86</v>
      </c>
      <c r="M46" s="7" t="s">
        <v>34</v>
      </c>
      <c r="N46" s="3" t="s">
        <v>35</v>
      </c>
      <c r="O46" s="7" t="s">
        <v>85</v>
      </c>
      <c r="P46" s="3" t="s">
        <v>86</v>
      </c>
      <c r="Q46" s="3" t="s">
        <v>100</v>
      </c>
      <c r="R46" s="7" t="s">
        <v>340</v>
      </c>
      <c r="S46" s="3" t="s">
        <v>37</v>
      </c>
      <c r="T46" s="3" t="s">
        <v>38</v>
      </c>
      <c r="U46" s="5">
        <v>45273</v>
      </c>
    </row>
    <row r="47" spans="1:21" x14ac:dyDescent="0.2">
      <c r="A47" s="8" t="s">
        <v>186</v>
      </c>
      <c r="B47" s="2" t="s">
        <v>187</v>
      </c>
      <c r="C47" s="2" t="s">
        <v>188</v>
      </c>
      <c r="D47" s="15">
        <v>201901</v>
      </c>
      <c r="E47" s="15">
        <v>202506</v>
      </c>
      <c r="F47" s="15">
        <v>49958.612000000001</v>
      </c>
      <c r="G47" s="8" t="s">
        <v>22</v>
      </c>
      <c r="H47" s="2" t="s">
        <v>23</v>
      </c>
      <c r="I47" s="8" t="s">
        <v>24</v>
      </c>
      <c r="J47" s="8" t="s">
        <v>189</v>
      </c>
      <c r="K47" s="17" t="str">
        <f>VLOOKUP(Requête1[[#This Row],[CD_GRP_ABS]],dim_absences_grp!A:B,2,0)</f>
        <v>CLD</v>
      </c>
      <c r="L47" s="2" t="s">
        <v>190</v>
      </c>
      <c r="M47" s="8" t="s">
        <v>22</v>
      </c>
      <c r="N47" s="2" t="s">
        <v>23</v>
      </c>
      <c r="O47" s="8" t="s">
        <v>189</v>
      </c>
      <c r="P47" s="2" t="s">
        <v>190</v>
      </c>
      <c r="Q47" s="2" t="s">
        <v>191</v>
      </c>
      <c r="R47" s="8" t="s">
        <v>343</v>
      </c>
      <c r="S47" s="2" t="s">
        <v>163</v>
      </c>
      <c r="T47" s="2" t="s">
        <v>25</v>
      </c>
      <c r="U47" s="1">
        <v>45273</v>
      </c>
    </row>
    <row r="48" spans="1:21" x14ac:dyDescent="0.2">
      <c r="A48" s="8" t="s">
        <v>192</v>
      </c>
      <c r="B48" s="2" t="s">
        <v>193</v>
      </c>
      <c r="C48" s="2" t="s">
        <v>194</v>
      </c>
      <c r="D48" s="15">
        <v>201901</v>
      </c>
      <c r="E48" s="15">
        <v>202506</v>
      </c>
      <c r="F48" s="15">
        <v>2752.0729999999999</v>
      </c>
      <c r="G48" s="8" t="s">
        <v>22</v>
      </c>
      <c r="H48" s="2" t="s">
        <v>23</v>
      </c>
      <c r="I48" s="8" t="s">
        <v>24</v>
      </c>
      <c r="J48" s="8" t="s">
        <v>189</v>
      </c>
      <c r="K48" s="17" t="str">
        <f>VLOOKUP(Requête1[[#This Row],[CD_GRP_ABS]],dim_absences_grp!A:B,2,0)</f>
        <v>CLD</v>
      </c>
      <c r="L48" s="2" t="s">
        <v>190</v>
      </c>
      <c r="M48" s="8" t="s">
        <v>22</v>
      </c>
      <c r="N48" s="2" t="s">
        <v>23</v>
      </c>
      <c r="O48" s="8" t="s">
        <v>189</v>
      </c>
      <c r="P48" s="2" t="s">
        <v>190</v>
      </c>
      <c r="Q48" s="2" t="s">
        <v>191</v>
      </c>
      <c r="R48" s="8" t="s">
        <v>343</v>
      </c>
      <c r="S48" s="2" t="s">
        <v>163</v>
      </c>
      <c r="T48" s="2" t="s">
        <v>25</v>
      </c>
      <c r="U48" s="1">
        <v>45273</v>
      </c>
    </row>
    <row r="49" spans="1:21" x14ac:dyDescent="0.2">
      <c r="A49" s="8" t="s">
        <v>195</v>
      </c>
      <c r="B49" s="2" t="s">
        <v>196</v>
      </c>
      <c r="C49" s="2" t="s">
        <v>197</v>
      </c>
      <c r="D49" s="15">
        <v>201901</v>
      </c>
      <c r="E49" s="15">
        <v>202408</v>
      </c>
      <c r="F49" s="15">
        <v>115.83799999999999</v>
      </c>
      <c r="G49" s="8" t="s">
        <v>22</v>
      </c>
      <c r="H49" s="2" t="s">
        <v>23</v>
      </c>
      <c r="I49" s="8" t="s">
        <v>24</v>
      </c>
      <c r="J49" s="8" t="s">
        <v>189</v>
      </c>
      <c r="K49" s="17" t="str">
        <f>VLOOKUP(Requête1[[#This Row],[CD_GRP_ABS]],dim_absences_grp!A:B,2,0)</f>
        <v>CLD</v>
      </c>
      <c r="L49" s="2" t="s">
        <v>190</v>
      </c>
      <c r="M49" s="8" t="s">
        <v>22</v>
      </c>
      <c r="N49" s="2" t="s">
        <v>23</v>
      </c>
      <c r="O49" s="8" t="s">
        <v>189</v>
      </c>
      <c r="P49" s="2" t="s">
        <v>190</v>
      </c>
      <c r="Q49" s="2" t="s">
        <v>191</v>
      </c>
      <c r="R49" s="8" t="s">
        <v>343</v>
      </c>
      <c r="S49" s="2" t="s">
        <v>163</v>
      </c>
      <c r="T49" s="2" t="s">
        <v>25</v>
      </c>
      <c r="U49" s="1">
        <v>45273</v>
      </c>
    </row>
    <row r="50" spans="1:21" s="4" customFormat="1" x14ac:dyDescent="0.2">
      <c r="A50" s="7" t="s">
        <v>198</v>
      </c>
      <c r="B50" s="3" t="s">
        <v>199</v>
      </c>
      <c r="C50" s="3" t="s">
        <v>200</v>
      </c>
      <c r="D50" s="14"/>
      <c r="E50" s="14"/>
      <c r="F50" s="14"/>
      <c r="G50" s="7" t="s">
        <v>22</v>
      </c>
      <c r="H50" s="3" t="s">
        <v>23</v>
      </c>
      <c r="I50" s="7" t="s">
        <v>24</v>
      </c>
      <c r="J50" s="7" t="s">
        <v>189</v>
      </c>
      <c r="K50" s="16" t="str">
        <f>VLOOKUP(Requête1[[#This Row],[CD_GRP_ABS]],dim_absences_grp!A:B,2,0)</f>
        <v>CLD</v>
      </c>
      <c r="L50" s="3" t="s">
        <v>190</v>
      </c>
      <c r="M50" s="7" t="s">
        <v>22</v>
      </c>
      <c r="N50" s="3" t="s">
        <v>23</v>
      </c>
      <c r="O50" s="7" t="s">
        <v>189</v>
      </c>
      <c r="P50" s="3" t="s">
        <v>190</v>
      </c>
      <c r="Q50" s="3" t="s">
        <v>191</v>
      </c>
      <c r="R50" s="7" t="s">
        <v>343</v>
      </c>
      <c r="S50" s="3" t="s">
        <v>163</v>
      </c>
      <c r="T50" s="3" t="s">
        <v>25</v>
      </c>
      <c r="U50" s="5">
        <v>45273</v>
      </c>
    </row>
    <row r="51" spans="1:21" s="4" customFormat="1" x14ac:dyDescent="0.2">
      <c r="A51" s="7" t="s">
        <v>201</v>
      </c>
      <c r="B51" s="3" t="s">
        <v>202</v>
      </c>
      <c r="C51" s="3" t="s">
        <v>203</v>
      </c>
      <c r="D51" s="14"/>
      <c r="E51" s="14"/>
      <c r="F51" s="14"/>
      <c r="G51" s="7" t="s">
        <v>22</v>
      </c>
      <c r="H51" s="3" t="s">
        <v>23</v>
      </c>
      <c r="I51" s="7" t="s">
        <v>24</v>
      </c>
      <c r="J51" s="7" t="s">
        <v>189</v>
      </c>
      <c r="K51" s="16" t="str">
        <f>VLOOKUP(Requête1[[#This Row],[CD_GRP_ABS]],dim_absences_grp!A:B,2,0)</f>
        <v>CLD</v>
      </c>
      <c r="L51" s="3" t="s">
        <v>190</v>
      </c>
      <c r="M51" s="7" t="s">
        <v>22</v>
      </c>
      <c r="N51" s="3" t="s">
        <v>23</v>
      </c>
      <c r="O51" s="7" t="s">
        <v>189</v>
      </c>
      <c r="P51" s="3" t="s">
        <v>190</v>
      </c>
      <c r="Q51" s="3" t="s">
        <v>191</v>
      </c>
      <c r="R51" s="7" t="s">
        <v>343</v>
      </c>
      <c r="S51" s="3" t="s">
        <v>163</v>
      </c>
      <c r="T51" s="3" t="s">
        <v>25</v>
      </c>
      <c r="U51" s="5">
        <v>45273</v>
      </c>
    </row>
    <row r="52" spans="1:21" s="4" customFormat="1" x14ac:dyDescent="0.2">
      <c r="A52" s="7" t="s">
        <v>204</v>
      </c>
      <c r="B52" s="3" t="s">
        <v>191</v>
      </c>
      <c r="C52" s="3" t="s">
        <v>191</v>
      </c>
      <c r="D52" s="14"/>
      <c r="E52" s="14"/>
      <c r="F52" s="14"/>
      <c r="G52" s="7" t="s">
        <v>22</v>
      </c>
      <c r="H52" s="3" t="s">
        <v>23</v>
      </c>
      <c r="I52" s="7" t="s">
        <v>24</v>
      </c>
      <c r="J52" s="7" t="s">
        <v>189</v>
      </c>
      <c r="K52" s="16" t="str">
        <f>VLOOKUP(Requête1[[#This Row],[CD_GRP_ABS]],dim_absences_grp!A:B,2,0)</f>
        <v>CLD</v>
      </c>
      <c r="L52" s="3" t="s">
        <v>190</v>
      </c>
      <c r="M52" s="7" t="s">
        <v>22</v>
      </c>
      <c r="N52" s="3" t="s">
        <v>23</v>
      </c>
      <c r="O52" s="7" t="s">
        <v>189</v>
      </c>
      <c r="P52" s="3" t="s">
        <v>190</v>
      </c>
      <c r="Q52" s="3" t="s">
        <v>191</v>
      </c>
      <c r="R52" s="7" t="s">
        <v>343</v>
      </c>
      <c r="S52" s="3" t="s">
        <v>163</v>
      </c>
      <c r="T52" s="3" t="s">
        <v>25</v>
      </c>
      <c r="U52" s="5">
        <v>45273</v>
      </c>
    </row>
    <row r="53" spans="1:21" x14ac:dyDescent="0.2">
      <c r="A53" s="8" t="s">
        <v>205</v>
      </c>
      <c r="B53" s="2" t="s">
        <v>206</v>
      </c>
      <c r="C53" s="2" t="s">
        <v>162</v>
      </c>
      <c r="D53" s="15">
        <v>201901</v>
      </c>
      <c r="E53" s="15">
        <v>202506</v>
      </c>
      <c r="F53" s="15">
        <v>58280.913</v>
      </c>
      <c r="G53" s="8" t="s">
        <v>22</v>
      </c>
      <c r="H53" s="2" t="s">
        <v>23</v>
      </c>
      <c r="I53" s="8" t="s">
        <v>24</v>
      </c>
      <c r="J53" s="8" t="s">
        <v>160</v>
      </c>
      <c r="K53" s="17" t="str">
        <f>VLOOKUP(Requête1[[#This Row],[CD_GRP_ABS]],dim_absences_grp!A:B,2,0)</f>
        <v>CLM</v>
      </c>
      <c r="L53" s="2" t="s">
        <v>161</v>
      </c>
      <c r="M53" s="8" t="s">
        <v>22</v>
      </c>
      <c r="N53" s="2" t="s">
        <v>23</v>
      </c>
      <c r="O53" s="8" t="s">
        <v>160</v>
      </c>
      <c r="P53" s="2" t="s">
        <v>161</v>
      </c>
      <c r="Q53" s="2" t="s">
        <v>162</v>
      </c>
      <c r="R53" s="8" t="s">
        <v>343</v>
      </c>
      <c r="S53" s="2" t="s">
        <v>163</v>
      </c>
      <c r="T53" s="2" t="s">
        <v>25</v>
      </c>
      <c r="U53" s="1">
        <v>45273</v>
      </c>
    </row>
    <row r="54" spans="1:21" x14ac:dyDescent="0.2">
      <c r="A54" s="8" t="s">
        <v>207</v>
      </c>
      <c r="B54" s="2" t="s">
        <v>208</v>
      </c>
      <c r="C54" s="2" t="s">
        <v>209</v>
      </c>
      <c r="D54" s="15">
        <v>201901</v>
      </c>
      <c r="E54" s="15">
        <v>202506</v>
      </c>
      <c r="F54" s="15">
        <v>225.99799999999999</v>
      </c>
      <c r="G54" s="8" t="s">
        <v>22</v>
      </c>
      <c r="H54" s="2" t="s">
        <v>23</v>
      </c>
      <c r="I54" s="8" t="s">
        <v>24</v>
      </c>
      <c r="J54" s="8" t="s">
        <v>25</v>
      </c>
      <c r="K54" s="17" t="str">
        <f>VLOOKUP(Requête1[[#This Row],[CD_GRP_ABS]],dim_absences_grp!A:B,2,0)</f>
        <v>MAL</v>
      </c>
      <c r="L54" s="2" t="s">
        <v>26</v>
      </c>
      <c r="M54" s="8" t="s">
        <v>22</v>
      </c>
      <c r="N54" s="2" t="s">
        <v>23</v>
      </c>
      <c r="O54" s="8" t="s">
        <v>25</v>
      </c>
      <c r="P54" s="2" t="s">
        <v>26</v>
      </c>
      <c r="Q54" s="2" t="s">
        <v>210</v>
      </c>
      <c r="R54" s="8" t="s">
        <v>339</v>
      </c>
      <c r="S54" s="2" t="s">
        <v>27</v>
      </c>
      <c r="T54" s="2" t="s">
        <v>25</v>
      </c>
      <c r="U54" s="1">
        <v>45273</v>
      </c>
    </row>
    <row r="55" spans="1:21" x14ac:dyDescent="0.2">
      <c r="A55" s="8" t="s">
        <v>211</v>
      </c>
      <c r="B55" s="2" t="s">
        <v>212</v>
      </c>
      <c r="C55" s="2" t="s">
        <v>213</v>
      </c>
      <c r="D55" s="15">
        <v>201901</v>
      </c>
      <c r="E55" s="15">
        <v>202506</v>
      </c>
      <c r="F55" s="15">
        <v>46187.046000000002</v>
      </c>
      <c r="G55" s="8" t="s">
        <v>22</v>
      </c>
      <c r="H55" s="2" t="s">
        <v>23</v>
      </c>
      <c r="I55" s="8" t="s">
        <v>24</v>
      </c>
      <c r="J55" s="8" t="s">
        <v>25</v>
      </c>
      <c r="K55" s="17" t="str">
        <f>VLOOKUP(Requête1[[#This Row],[CD_GRP_ABS]],dim_absences_grp!A:B,2,0)</f>
        <v>MAL</v>
      </c>
      <c r="L55" s="2" t="s">
        <v>26</v>
      </c>
      <c r="M55" s="8" t="s">
        <v>22</v>
      </c>
      <c r="N55" s="2" t="s">
        <v>23</v>
      </c>
      <c r="O55" s="8" t="s">
        <v>25</v>
      </c>
      <c r="P55" s="2" t="s">
        <v>26</v>
      </c>
      <c r="Q55" s="2" t="s">
        <v>210</v>
      </c>
      <c r="R55" s="8" t="s">
        <v>339</v>
      </c>
      <c r="S55" s="2" t="s">
        <v>27</v>
      </c>
      <c r="T55" s="2" t="s">
        <v>25</v>
      </c>
      <c r="U55" s="1">
        <v>45273</v>
      </c>
    </row>
    <row r="56" spans="1:21" x14ac:dyDescent="0.2">
      <c r="A56" s="8" t="s">
        <v>214</v>
      </c>
      <c r="B56" s="2" t="s">
        <v>215</v>
      </c>
      <c r="C56" s="2" t="s">
        <v>216</v>
      </c>
      <c r="D56" s="15">
        <v>201901</v>
      </c>
      <c r="E56" s="15">
        <v>202412</v>
      </c>
      <c r="F56" s="15">
        <v>370.78</v>
      </c>
      <c r="G56" s="8" t="s">
        <v>22</v>
      </c>
      <c r="H56" s="2" t="s">
        <v>23</v>
      </c>
      <c r="I56" s="8" t="s">
        <v>24</v>
      </c>
      <c r="J56" s="8" t="s">
        <v>25</v>
      </c>
      <c r="K56" s="17" t="str">
        <f>VLOOKUP(Requête1[[#This Row],[CD_GRP_ABS]],dim_absences_grp!A:B,2,0)</f>
        <v>MAL</v>
      </c>
      <c r="L56" s="2" t="s">
        <v>26</v>
      </c>
      <c r="M56" s="8" t="s">
        <v>22</v>
      </c>
      <c r="N56" s="2" t="s">
        <v>23</v>
      </c>
      <c r="O56" s="8" t="s">
        <v>25</v>
      </c>
      <c r="P56" s="2" t="s">
        <v>26</v>
      </c>
      <c r="Q56" s="2" t="s">
        <v>210</v>
      </c>
      <c r="R56" s="8" t="s">
        <v>339</v>
      </c>
      <c r="S56" s="2" t="s">
        <v>27</v>
      </c>
      <c r="T56" s="2" t="s">
        <v>25</v>
      </c>
      <c r="U56" s="1">
        <v>45273</v>
      </c>
    </row>
    <row r="57" spans="1:21" x14ac:dyDescent="0.2">
      <c r="A57" s="8" t="s">
        <v>217</v>
      </c>
      <c r="B57" s="2" t="s">
        <v>218</v>
      </c>
      <c r="C57" s="2" t="s">
        <v>218</v>
      </c>
      <c r="D57" s="15">
        <v>201901</v>
      </c>
      <c r="E57" s="15">
        <v>202506</v>
      </c>
      <c r="F57" s="15">
        <v>62382.572999999997</v>
      </c>
      <c r="G57" s="8" t="s">
        <v>30</v>
      </c>
      <c r="H57" s="2" t="s">
        <v>31</v>
      </c>
      <c r="I57" s="8" t="s">
        <v>24</v>
      </c>
      <c r="J57" s="8" t="s">
        <v>48</v>
      </c>
      <c r="K57" s="17" t="str">
        <f>VLOOKUP(Requête1[[#This Row],[CD_GRP_ABS]],dim_absences_grp!A:B,2,0)</f>
        <v>MAT</v>
      </c>
      <c r="L57" s="2" t="s">
        <v>219</v>
      </c>
      <c r="M57" s="8" t="s">
        <v>30</v>
      </c>
      <c r="N57" s="2" t="s">
        <v>31</v>
      </c>
      <c r="O57" s="8" t="s">
        <v>48</v>
      </c>
      <c r="P57" s="2" t="s">
        <v>219</v>
      </c>
      <c r="Q57" s="2" t="s">
        <v>220</v>
      </c>
      <c r="R57" s="8" t="s">
        <v>341</v>
      </c>
      <c r="S57" s="2" t="s">
        <v>47</v>
      </c>
      <c r="T57" s="2" t="s">
        <v>48</v>
      </c>
      <c r="U57" s="1">
        <v>45273</v>
      </c>
    </row>
    <row r="58" spans="1:21" x14ac:dyDescent="0.2">
      <c r="A58" s="8" t="s">
        <v>221</v>
      </c>
      <c r="B58" s="2" t="s">
        <v>222</v>
      </c>
      <c r="C58" s="2" t="s">
        <v>223</v>
      </c>
      <c r="D58" s="15">
        <v>202002</v>
      </c>
      <c r="E58" s="15">
        <v>202409</v>
      </c>
      <c r="F58" s="15">
        <v>16.277999999999999</v>
      </c>
      <c r="G58" s="8" t="s">
        <v>22</v>
      </c>
      <c r="H58" s="2" t="s">
        <v>23</v>
      </c>
      <c r="I58" s="8" t="s">
        <v>24</v>
      </c>
      <c r="J58" s="8" t="s">
        <v>224</v>
      </c>
      <c r="K58" s="17" t="str">
        <f>VLOOKUP(Requête1[[#This Row],[CD_GRP_ABS]],dim_absences_grp!A:B,2,0)</f>
        <v>MAP</v>
      </c>
      <c r="L58" s="2" t="s">
        <v>225</v>
      </c>
      <c r="M58" s="8" t="s">
        <v>22</v>
      </c>
      <c r="N58" s="2" t="s">
        <v>23</v>
      </c>
      <c r="O58" s="8" t="s">
        <v>224</v>
      </c>
      <c r="P58" s="2" t="s">
        <v>225</v>
      </c>
      <c r="Q58" s="2" t="s">
        <v>226</v>
      </c>
      <c r="R58" s="8" t="s">
        <v>344</v>
      </c>
      <c r="S58" s="2" t="s">
        <v>227</v>
      </c>
      <c r="T58" s="2" t="s">
        <v>81</v>
      </c>
      <c r="U58" s="1">
        <v>45273</v>
      </c>
    </row>
    <row r="59" spans="1:21" x14ac:dyDescent="0.2">
      <c r="A59" s="8" t="s">
        <v>228</v>
      </c>
      <c r="B59" s="2" t="s">
        <v>229</v>
      </c>
      <c r="C59" s="2" t="s">
        <v>230</v>
      </c>
      <c r="D59" s="15">
        <v>201901</v>
      </c>
      <c r="E59" s="15">
        <v>202503</v>
      </c>
      <c r="F59" s="15">
        <v>223.98</v>
      </c>
      <c r="G59" s="8" t="s">
        <v>30</v>
      </c>
      <c r="H59" s="2" t="s">
        <v>31</v>
      </c>
      <c r="I59" s="8" t="s">
        <v>30</v>
      </c>
      <c r="J59" s="8" t="s">
        <v>231</v>
      </c>
      <c r="K59" s="17" t="str">
        <f>VLOOKUP(Requête1[[#This Row],[CD_GRP_ABS]],dim_absences_grp!A:B,2,0)</f>
        <v>MTD</v>
      </c>
      <c r="L59" s="2" t="s">
        <v>232</v>
      </c>
      <c r="M59" s="8" t="s">
        <v>34</v>
      </c>
      <c r="N59" s="2" t="s">
        <v>35</v>
      </c>
      <c r="O59" s="8" t="s">
        <v>48</v>
      </c>
      <c r="P59" s="2" t="s">
        <v>219</v>
      </c>
      <c r="Q59" s="2" t="s">
        <v>230</v>
      </c>
      <c r="R59" s="8" t="s">
        <v>340</v>
      </c>
      <c r="S59" s="2" t="s">
        <v>37</v>
      </c>
      <c r="T59" s="2" t="s">
        <v>48</v>
      </c>
      <c r="U59" s="1">
        <v>45273</v>
      </c>
    </row>
    <row r="60" spans="1:21" s="4" customFormat="1" x14ac:dyDescent="0.2">
      <c r="A60" s="7" t="s">
        <v>233</v>
      </c>
      <c r="B60" s="3" t="s">
        <v>234</v>
      </c>
      <c r="C60" s="3" t="s">
        <v>234</v>
      </c>
      <c r="D60" s="14"/>
      <c r="E60" s="14"/>
      <c r="F60" s="14"/>
      <c r="G60" s="7" t="s">
        <v>30</v>
      </c>
      <c r="H60" s="3" t="s">
        <v>31</v>
      </c>
      <c r="I60" s="7" t="s">
        <v>30</v>
      </c>
      <c r="J60" s="7" t="s">
        <v>58</v>
      </c>
      <c r="K60" s="16" t="str">
        <f>VLOOKUP(Requête1[[#This Row],[CD_GRP_ABS]],dim_absences_grp!A:B,2,0)</f>
        <v>DIV</v>
      </c>
      <c r="L60" s="3" t="s">
        <v>59</v>
      </c>
      <c r="M60" s="7" t="s">
        <v>34</v>
      </c>
      <c r="N60" s="3" t="s">
        <v>35</v>
      </c>
      <c r="O60" s="7" t="s">
        <v>58</v>
      </c>
      <c r="P60" s="3" t="s">
        <v>59</v>
      </c>
      <c r="Q60" s="3" t="s">
        <v>234</v>
      </c>
      <c r="R60" s="7" t="s">
        <v>340</v>
      </c>
      <c r="S60" s="3" t="s">
        <v>37</v>
      </c>
      <c r="T60" s="3" t="s">
        <v>38</v>
      </c>
      <c r="U60" s="5">
        <v>45273</v>
      </c>
    </row>
    <row r="61" spans="1:21" x14ac:dyDescent="0.2">
      <c r="A61" s="8" t="s">
        <v>235</v>
      </c>
      <c r="B61" s="2" t="s">
        <v>236</v>
      </c>
      <c r="C61" s="2" t="s">
        <v>237</v>
      </c>
      <c r="D61" s="15">
        <v>201901</v>
      </c>
      <c r="E61" s="15">
        <v>202506</v>
      </c>
      <c r="F61" s="15">
        <v>61.052999999999997</v>
      </c>
      <c r="G61" s="8" t="s">
        <v>30</v>
      </c>
      <c r="H61" s="2" t="s">
        <v>31</v>
      </c>
      <c r="I61" s="8" t="s">
        <v>30</v>
      </c>
      <c r="J61" s="8" t="s">
        <v>58</v>
      </c>
      <c r="K61" s="17" t="str">
        <f>VLOOKUP(Requête1[[#This Row],[CD_GRP_ABS]],dim_absences_grp!A:B,2,0)</f>
        <v>DIV</v>
      </c>
      <c r="L61" s="2" t="s">
        <v>59</v>
      </c>
      <c r="M61" s="8" t="s">
        <v>34</v>
      </c>
      <c r="N61" s="2" t="s">
        <v>35</v>
      </c>
      <c r="O61" s="8" t="s">
        <v>58</v>
      </c>
      <c r="P61" s="2" t="s">
        <v>59</v>
      </c>
      <c r="Q61" s="2" t="s">
        <v>237</v>
      </c>
      <c r="R61" s="8" t="s">
        <v>340</v>
      </c>
      <c r="S61" s="2" t="s">
        <v>37</v>
      </c>
      <c r="T61" s="2" t="s">
        <v>38</v>
      </c>
      <c r="U61" s="1">
        <v>45273</v>
      </c>
    </row>
    <row r="62" spans="1:21" x14ac:dyDescent="0.2">
      <c r="A62" s="8" t="s">
        <v>238</v>
      </c>
      <c r="B62" s="2" t="s">
        <v>239</v>
      </c>
      <c r="C62" s="2" t="s">
        <v>240</v>
      </c>
      <c r="D62" s="15">
        <v>201901</v>
      </c>
      <c r="E62" s="15">
        <v>202505</v>
      </c>
      <c r="F62" s="15">
        <v>21.331</v>
      </c>
      <c r="G62" s="8" t="s">
        <v>30</v>
      </c>
      <c r="H62" s="2" t="s">
        <v>31</v>
      </c>
      <c r="I62" s="8" t="s">
        <v>30</v>
      </c>
      <c r="J62" s="8" t="s">
        <v>58</v>
      </c>
      <c r="K62" s="17" t="str">
        <f>VLOOKUP(Requête1[[#This Row],[CD_GRP_ABS]],dim_absences_grp!A:B,2,0)</f>
        <v>DIV</v>
      </c>
      <c r="L62" s="2" t="s">
        <v>59</v>
      </c>
      <c r="M62" s="8" t="s">
        <v>34</v>
      </c>
      <c r="N62" s="2" t="s">
        <v>35</v>
      </c>
      <c r="O62" s="8" t="s">
        <v>58</v>
      </c>
      <c r="P62" s="2" t="s">
        <v>59</v>
      </c>
      <c r="Q62" s="2" t="s">
        <v>241</v>
      </c>
      <c r="R62" s="8" t="s">
        <v>340</v>
      </c>
      <c r="S62" s="2" t="s">
        <v>37</v>
      </c>
      <c r="T62" s="2" t="s">
        <v>38</v>
      </c>
      <c r="U62" s="1">
        <v>45273</v>
      </c>
    </row>
    <row r="63" spans="1:21" x14ac:dyDescent="0.2">
      <c r="A63" s="8" t="s">
        <v>242</v>
      </c>
      <c r="B63" s="2" t="s">
        <v>243</v>
      </c>
      <c r="C63" s="2" t="s">
        <v>244</v>
      </c>
      <c r="D63" s="15">
        <v>201901</v>
      </c>
      <c r="E63" s="15">
        <v>202506</v>
      </c>
      <c r="F63" s="15">
        <v>16215.947</v>
      </c>
      <c r="G63" s="8" t="s">
        <v>22</v>
      </c>
      <c r="H63" s="2" t="s">
        <v>23</v>
      </c>
      <c r="I63" s="8" t="s">
        <v>24</v>
      </c>
      <c r="J63" s="8" t="s">
        <v>224</v>
      </c>
      <c r="K63" s="17" t="str">
        <f>VLOOKUP(Requête1[[#This Row],[CD_GRP_ABS]],dim_absences_grp!A:B,2,0)</f>
        <v>MAP</v>
      </c>
      <c r="L63" s="2" t="s">
        <v>225</v>
      </c>
      <c r="M63" s="8" t="s">
        <v>22</v>
      </c>
      <c r="N63" s="2" t="s">
        <v>23</v>
      </c>
      <c r="O63" s="8" t="s">
        <v>224</v>
      </c>
      <c r="P63" s="2" t="s">
        <v>225</v>
      </c>
      <c r="Q63" s="2" t="s">
        <v>226</v>
      </c>
      <c r="R63" s="8" t="s">
        <v>345</v>
      </c>
      <c r="S63" s="2" t="s">
        <v>245</v>
      </c>
      <c r="T63" s="2" t="s">
        <v>81</v>
      </c>
      <c r="U63" s="1">
        <v>45273</v>
      </c>
    </row>
    <row r="64" spans="1:21" s="4" customFormat="1" x14ac:dyDescent="0.2">
      <c r="A64" s="7" t="s">
        <v>246</v>
      </c>
      <c r="B64" s="3" t="s">
        <v>247</v>
      </c>
      <c r="C64" s="3" t="s">
        <v>248</v>
      </c>
      <c r="D64" s="14"/>
      <c r="E64" s="14"/>
      <c r="F64" s="14"/>
      <c r="G64" s="7" t="s">
        <v>30</v>
      </c>
      <c r="H64" s="3" t="s">
        <v>31</v>
      </c>
      <c r="I64" s="7" t="s">
        <v>30</v>
      </c>
      <c r="J64" s="7" t="s">
        <v>58</v>
      </c>
      <c r="K64" s="16" t="str">
        <f>VLOOKUP(Requête1[[#This Row],[CD_GRP_ABS]],dim_absences_grp!A:B,2,0)</f>
        <v>DIV</v>
      </c>
      <c r="L64" s="3" t="s">
        <v>59</v>
      </c>
      <c r="M64" s="7" t="s">
        <v>34</v>
      </c>
      <c r="N64" s="3" t="s">
        <v>35</v>
      </c>
      <c r="O64" s="7" t="s">
        <v>58</v>
      </c>
      <c r="P64" s="3" t="s">
        <v>59</v>
      </c>
      <c r="Q64" s="3" t="s">
        <v>241</v>
      </c>
      <c r="R64" s="7" t="s">
        <v>340</v>
      </c>
      <c r="S64" s="3" t="s">
        <v>37</v>
      </c>
      <c r="T64" s="3" t="s">
        <v>38</v>
      </c>
      <c r="U64" s="5">
        <v>45273</v>
      </c>
    </row>
    <row r="65" spans="1:21" s="4" customFormat="1" x14ac:dyDescent="0.2">
      <c r="A65" s="7" t="s">
        <v>249</v>
      </c>
      <c r="B65" s="3" t="s">
        <v>250</v>
      </c>
      <c r="C65" s="3" t="s">
        <v>251</v>
      </c>
      <c r="D65" s="14"/>
      <c r="E65" s="14"/>
      <c r="F65" s="14"/>
      <c r="G65" s="7" t="s">
        <v>30</v>
      </c>
      <c r="H65" s="3" t="s">
        <v>31</v>
      </c>
      <c r="I65" s="7" t="s">
        <v>24</v>
      </c>
      <c r="J65" s="7" t="s">
        <v>48</v>
      </c>
      <c r="K65" s="16" t="str">
        <f>VLOOKUP(Requête1[[#This Row],[CD_GRP_ABS]],dim_absences_grp!A:B,2,0)</f>
        <v>MAT</v>
      </c>
      <c r="L65" s="3" t="s">
        <v>219</v>
      </c>
      <c r="M65" s="7" t="s">
        <v>30</v>
      </c>
      <c r="N65" s="3" t="s">
        <v>31</v>
      </c>
      <c r="O65" s="7" t="s">
        <v>48</v>
      </c>
      <c r="P65" s="3" t="s">
        <v>219</v>
      </c>
      <c r="Q65" s="3" t="s">
        <v>251</v>
      </c>
      <c r="R65" s="7" t="s">
        <v>341</v>
      </c>
      <c r="S65" s="3" t="s">
        <v>47</v>
      </c>
      <c r="T65" s="3" t="s">
        <v>48</v>
      </c>
      <c r="U65" s="5">
        <v>45273</v>
      </c>
    </row>
    <row r="66" spans="1:21" s="4" customFormat="1" x14ac:dyDescent="0.2">
      <c r="A66" s="7" t="s">
        <v>252</v>
      </c>
      <c r="B66" s="3" t="s">
        <v>253</v>
      </c>
      <c r="C66" s="3" t="s">
        <v>254</v>
      </c>
      <c r="D66" s="14"/>
      <c r="E66" s="14"/>
      <c r="F66" s="14"/>
      <c r="G66" s="7" t="s">
        <v>22</v>
      </c>
      <c r="H66" s="3" t="s">
        <v>23</v>
      </c>
      <c r="I66" s="7" t="s">
        <v>30</v>
      </c>
      <c r="J66" s="7" t="s">
        <v>252</v>
      </c>
      <c r="K66" s="16" t="str">
        <f>VLOOKUP(Requête1[[#This Row],[CD_GRP_ABS]],dim_absences_grp!A:B,2,0)</f>
        <v>MED</v>
      </c>
      <c r="L66" s="3" t="s">
        <v>255</v>
      </c>
      <c r="M66" s="7" t="s">
        <v>34</v>
      </c>
      <c r="N66" s="3" t="s">
        <v>35</v>
      </c>
      <c r="O66" s="7" t="s">
        <v>25</v>
      </c>
      <c r="P66" s="3" t="s">
        <v>26</v>
      </c>
      <c r="Q66" s="3" t="s">
        <v>254</v>
      </c>
      <c r="R66" s="7" t="s">
        <v>340</v>
      </c>
      <c r="S66" s="3" t="s">
        <v>37</v>
      </c>
      <c r="T66" s="3" t="s">
        <v>38</v>
      </c>
      <c r="U66" s="5">
        <v>45273</v>
      </c>
    </row>
    <row r="67" spans="1:21" s="4" customFormat="1" x14ac:dyDescent="0.2">
      <c r="A67" s="7" t="s">
        <v>256</v>
      </c>
      <c r="B67" s="3" t="s">
        <v>257</v>
      </c>
      <c r="C67" s="3" t="s">
        <v>258</v>
      </c>
      <c r="D67" s="14"/>
      <c r="E67" s="14"/>
      <c r="F67" s="14"/>
      <c r="G67" s="7" t="s">
        <v>30</v>
      </c>
      <c r="H67" s="3" t="s">
        <v>31</v>
      </c>
      <c r="I67" s="7" t="s">
        <v>30</v>
      </c>
      <c r="J67" s="7" t="s">
        <v>58</v>
      </c>
      <c r="K67" s="16" t="str">
        <f>VLOOKUP(Requête1[[#This Row],[CD_GRP_ABS]],dim_absences_grp!A:B,2,0)</f>
        <v>DIV</v>
      </c>
      <c r="L67" s="3" t="s">
        <v>59</v>
      </c>
      <c r="M67" s="7" t="s">
        <v>34</v>
      </c>
      <c r="N67" s="3" t="s">
        <v>35</v>
      </c>
      <c r="O67" s="7" t="s">
        <v>58</v>
      </c>
      <c r="P67" s="3" t="s">
        <v>59</v>
      </c>
      <c r="Q67" s="3" t="s">
        <v>259</v>
      </c>
      <c r="R67" s="7" t="s">
        <v>340</v>
      </c>
      <c r="S67" s="3" t="s">
        <v>37</v>
      </c>
      <c r="T67" s="3" t="s">
        <v>38</v>
      </c>
      <c r="U67" s="5">
        <v>45273</v>
      </c>
    </row>
    <row r="68" spans="1:21" s="4" customFormat="1" x14ac:dyDescent="0.2">
      <c r="A68" s="7" t="s">
        <v>260</v>
      </c>
      <c r="B68" s="3" t="s">
        <v>261</v>
      </c>
      <c r="C68" s="3" t="s">
        <v>261</v>
      </c>
      <c r="D68" s="14"/>
      <c r="E68" s="14"/>
      <c r="F68" s="14"/>
      <c r="G68" s="7" t="s">
        <v>30</v>
      </c>
      <c r="H68" s="3" t="s">
        <v>31</v>
      </c>
      <c r="I68" s="7" t="s">
        <v>30</v>
      </c>
      <c r="J68" s="7" t="s">
        <v>58</v>
      </c>
      <c r="K68" s="16" t="str">
        <f>VLOOKUP(Requête1[[#This Row],[CD_GRP_ABS]],dim_absences_grp!A:B,2,0)</f>
        <v>DIV</v>
      </c>
      <c r="L68" s="3" t="s">
        <v>59</v>
      </c>
      <c r="M68" s="7" t="s">
        <v>34</v>
      </c>
      <c r="N68" s="3" t="s">
        <v>35</v>
      </c>
      <c r="O68" s="7" t="s">
        <v>58</v>
      </c>
      <c r="P68" s="3" t="s">
        <v>59</v>
      </c>
      <c r="Q68" s="3" t="s">
        <v>259</v>
      </c>
      <c r="R68" s="7" t="s">
        <v>340</v>
      </c>
      <c r="S68" s="3" t="s">
        <v>37</v>
      </c>
      <c r="T68" s="3" t="s">
        <v>38</v>
      </c>
      <c r="U68" s="5">
        <v>45273</v>
      </c>
    </row>
    <row r="69" spans="1:21" x14ac:dyDescent="0.2">
      <c r="A69" s="8" t="s">
        <v>262</v>
      </c>
      <c r="B69" s="2" t="s">
        <v>263</v>
      </c>
      <c r="C69" s="2" t="s">
        <v>263</v>
      </c>
      <c r="D69" s="15">
        <v>202012</v>
      </c>
      <c r="E69" s="15">
        <v>202506</v>
      </c>
      <c r="F69" s="15">
        <v>177.7</v>
      </c>
      <c r="G69" s="8" t="s">
        <v>30</v>
      </c>
      <c r="H69" s="2" t="s">
        <v>31</v>
      </c>
      <c r="I69" s="8" t="s">
        <v>30</v>
      </c>
      <c r="J69" s="8" t="s">
        <v>42</v>
      </c>
      <c r="K69" s="17" t="str">
        <f>VLOOKUP(Requête1[[#This Row],[CD_GRP_ABS]],dim_absences_grp!A:B,2,0)</f>
        <v>CMF</v>
      </c>
      <c r="L69" s="2" t="s">
        <v>43</v>
      </c>
      <c r="M69" s="8" t="s">
        <v>34</v>
      </c>
      <c r="N69" s="2" t="s">
        <v>35</v>
      </c>
      <c r="O69" s="8" t="s">
        <v>42</v>
      </c>
      <c r="P69" s="2" t="s">
        <v>43</v>
      </c>
      <c r="Q69" s="2" t="s">
        <v>263</v>
      </c>
      <c r="R69" s="8" t="s">
        <v>340</v>
      </c>
      <c r="S69" s="2" t="s">
        <v>37</v>
      </c>
      <c r="T69" s="2" t="s">
        <v>38</v>
      </c>
      <c r="U69" s="1">
        <v>45273</v>
      </c>
    </row>
    <row r="70" spans="1:21" s="4" customFormat="1" x14ac:dyDescent="0.2">
      <c r="A70" s="7" t="s">
        <v>264</v>
      </c>
      <c r="B70" s="3" t="s">
        <v>265</v>
      </c>
      <c r="C70" s="3" t="s">
        <v>266</v>
      </c>
      <c r="D70" s="14"/>
      <c r="E70" s="14"/>
      <c r="F70" s="14"/>
      <c r="G70" s="7" t="s">
        <v>30</v>
      </c>
      <c r="H70" s="3" t="s">
        <v>31</v>
      </c>
      <c r="I70" s="7" t="s">
        <v>30</v>
      </c>
      <c r="J70" s="7" t="s">
        <v>66</v>
      </c>
      <c r="K70" s="16" t="str">
        <f>VLOOKUP(Requête1[[#This Row],[CD_GRP_ABS]],dim_absences_grp!A:B,2,0)</f>
        <v>FOR</v>
      </c>
      <c r="L70" s="3" t="s">
        <v>67</v>
      </c>
      <c r="M70" s="7" t="s">
        <v>34</v>
      </c>
      <c r="N70" s="3" t="s">
        <v>35</v>
      </c>
      <c r="O70" s="7" t="s">
        <v>66</v>
      </c>
      <c r="P70" s="3" t="s">
        <v>67</v>
      </c>
      <c r="Q70" s="3" t="s">
        <v>267</v>
      </c>
      <c r="R70" s="7" t="s">
        <v>340</v>
      </c>
      <c r="S70" s="3" t="s">
        <v>37</v>
      </c>
      <c r="T70" s="3" t="s">
        <v>38</v>
      </c>
      <c r="U70" s="5">
        <v>45273</v>
      </c>
    </row>
    <row r="71" spans="1:21" x14ac:dyDescent="0.2">
      <c r="A71" s="8" t="s">
        <v>268</v>
      </c>
      <c r="B71" s="2" t="s">
        <v>269</v>
      </c>
      <c r="C71" s="2" t="s">
        <v>270</v>
      </c>
      <c r="D71" s="15">
        <v>201902</v>
      </c>
      <c r="E71" s="15">
        <v>202402</v>
      </c>
      <c r="F71" s="15">
        <v>6.0039999999999996</v>
      </c>
      <c r="G71" s="8" t="s">
        <v>30</v>
      </c>
      <c r="H71" s="2" t="s">
        <v>31</v>
      </c>
      <c r="I71" s="8" t="s">
        <v>30</v>
      </c>
      <c r="J71" s="8" t="s">
        <v>58</v>
      </c>
      <c r="K71" s="17" t="str">
        <f>VLOOKUP(Requête1[[#This Row],[CD_GRP_ABS]],dim_absences_grp!A:B,2,0)</f>
        <v>DIV</v>
      </c>
      <c r="L71" s="2" t="s">
        <v>59</v>
      </c>
      <c r="M71" s="8" t="s">
        <v>34</v>
      </c>
      <c r="N71" s="2" t="s">
        <v>35</v>
      </c>
      <c r="O71" s="8" t="s">
        <v>58</v>
      </c>
      <c r="P71" s="2" t="s">
        <v>59</v>
      </c>
      <c r="Q71" s="2" t="s">
        <v>271</v>
      </c>
      <c r="R71" s="8" t="s">
        <v>340</v>
      </c>
      <c r="S71" s="2" t="s">
        <v>37</v>
      </c>
      <c r="T71" s="2" t="s">
        <v>38</v>
      </c>
      <c r="U71" s="1">
        <v>45273</v>
      </c>
    </row>
    <row r="72" spans="1:21" x14ac:dyDescent="0.2">
      <c r="A72" s="8" t="s">
        <v>272</v>
      </c>
      <c r="B72" s="2" t="s">
        <v>273</v>
      </c>
      <c r="C72" s="2" t="s">
        <v>274</v>
      </c>
      <c r="D72" s="15">
        <v>202007</v>
      </c>
      <c r="E72" s="15">
        <v>202506</v>
      </c>
      <c r="F72" s="15">
        <v>1984.6990000000001</v>
      </c>
      <c r="G72" s="8" t="s">
        <v>22</v>
      </c>
      <c r="H72" s="2" t="s">
        <v>23</v>
      </c>
      <c r="I72" s="8" t="s">
        <v>24</v>
      </c>
      <c r="J72" s="8" t="s">
        <v>25</v>
      </c>
      <c r="K72" s="17" t="str">
        <f>VLOOKUP(Requête1[[#This Row],[CD_GRP_ABS]],dim_absences_grp!A:B,2,0)</f>
        <v>MAL</v>
      </c>
      <c r="L72" s="2" t="s">
        <v>26</v>
      </c>
      <c r="M72" s="8" t="s">
        <v>22</v>
      </c>
      <c r="N72" s="2" t="s">
        <v>23</v>
      </c>
      <c r="O72" s="8" t="s">
        <v>25</v>
      </c>
      <c r="P72" s="2" t="s">
        <v>26</v>
      </c>
      <c r="Q72" s="2" t="s">
        <v>274</v>
      </c>
      <c r="R72" s="8" t="s">
        <v>339</v>
      </c>
      <c r="S72" s="2" t="s">
        <v>27</v>
      </c>
      <c r="T72" s="2" t="s">
        <v>25</v>
      </c>
      <c r="U72" s="1">
        <v>45628</v>
      </c>
    </row>
    <row r="73" spans="1:21" x14ac:dyDescent="0.2">
      <c r="A73" s="8" t="s">
        <v>275</v>
      </c>
      <c r="B73" s="2" t="s">
        <v>276</v>
      </c>
      <c r="C73" s="2" t="s">
        <v>276</v>
      </c>
      <c r="D73" s="15">
        <v>201901</v>
      </c>
      <c r="E73" s="15">
        <v>202506</v>
      </c>
      <c r="F73" s="15">
        <v>1982.057</v>
      </c>
      <c r="G73" s="8" t="s">
        <v>30</v>
      </c>
      <c r="H73" s="2" t="s">
        <v>31</v>
      </c>
      <c r="I73" s="8" t="s">
        <v>24</v>
      </c>
      <c r="J73" s="8" t="s">
        <v>48</v>
      </c>
      <c r="K73" s="17" t="str">
        <f>VLOOKUP(Requête1[[#This Row],[CD_GRP_ABS]],dim_absences_grp!A:B,2,0)</f>
        <v>MAT</v>
      </c>
      <c r="L73" s="2" t="s">
        <v>219</v>
      </c>
      <c r="M73" s="8" t="s">
        <v>30</v>
      </c>
      <c r="N73" s="2" t="s">
        <v>31</v>
      </c>
      <c r="O73" s="8" t="s">
        <v>48</v>
      </c>
      <c r="P73" s="2" t="s">
        <v>219</v>
      </c>
      <c r="Q73" s="2" t="s">
        <v>276</v>
      </c>
      <c r="R73" s="8" t="s">
        <v>341</v>
      </c>
      <c r="S73" s="2" t="s">
        <v>47</v>
      </c>
      <c r="T73" s="2" t="s">
        <v>48</v>
      </c>
      <c r="U73" s="1">
        <v>45273</v>
      </c>
    </row>
    <row r="74" spans="1:21" s="4" customFormat="1" x14ac:dyDescent="0.2">
      <c r="A74" s="7" t="s">
        <v>277</v>
      </c>
      <c r="B74" s="3" t="s">
        <v>278</v>
      </c>
      <c r="C74" s="3" t="s">
        <v>279</v>
      </c>
      <c r="D74" s="14"/>
      <c r="E74" s="14"/>
      <c r="F74" s="14"/>
      <c r="G74" s="7" t="s">
        <v>30</v>
      </c>
      <c r="H74" s="3" t="s">
        <v>31</v>
      </c>
      <c r="I74" s="7" t="s">
        <v>30</v>
      </c>
      <c r="J74" s="7" t="s">
        <v>58</v>
      </c>
      <c r="K74" s="16" t="str">
        <f>VLOOKUP(Requête1[[#This Row],[CD_GRP_ABS]],dim_absences_grp!A:B,2,0)</f>
        <v>DIV</v>
      </c>
      <c r="L74" s="3" t="s">
        <v>59</v>
      </c>
      <c r="M74" s="7" t="s">
        <v>34</v>
      </c>
      <c r="N74" s="3" t="s">
        <v>35</v>
      </c>
      <c r="O74" s="7" t="s">
        <v>58</v>
      </c>
      <c r="P74" s="3" t="s">
        <v>59</v>
      </c>
      <c r="Q74" s="3" t="s">
        <v>259</v>
      </c>
      <c r="R74" s="7" t="s">
        <v>340</v>
      </c>
      <c r="S74" s="3" t="s">
        <v>37</v>
      </c>
      <c r="T74" s="3" t="s">
        <v>38</v>
      </c>
      <c r="U74" s="5">
        <v>45273</v>
      </c>
    </row>
    <row r="75" spans="1:21" s="4" customFormat="1" x14ac:dyDescent="0.2">
      <c r="A75" s="7" t="s">
        <v>280</v>
      </c>
      <c r="B75" s="3" t="s">
        <v>281</v>
      </c>
      <c r="C75" s="3" t="s">
        <v>282</v>
      </c>
      <c r="D75" s="14"/>
      <c r="E75" s="14"/>
      <c r="F75" s="14"/>
      <c r="G75" s="7" t="s">
        <v>30</v>
      </c>
      <c r="H75" s="3" t="s">
        <v>31</v>
      </c>
      <c r="I75" s="7" t="s">
        <v>30</v>
      </c>
      <c r="J75" s="7" t="s">
        <v>32</v>
      </c>
      <c r="K75" s="16" t="str">
        <f>VLOOKUP(Requête1[[#This Row],[CD_GRP_ABS]],dim_absences_grp!A:B,2,0)</f>
        <v>AST</v>
      </c>
      <c r="L75" s="3" t="s">
        <v>33</v>
      </c>
      <c r="M75" s="7" t="s">
        <v>34</v>
      </c>
      <c r="N75" s="3" t="s">
        <v>35</v>
      </c>
      <c r="O75" s="7" t="s">
        <v>32</v>
      </c>
      <c r="P75" s="3" t="s">
        <v>33</v>
      </c>
      <c r="Q75" s="3" t="s">
        <v>282</v>
      </c>
      <c r="R75" s="7" t="s">
        <v>340</v>
      </c>
      <c r="S75" s="3" t="s">
        <v>37</v>
      </c>
      <c r="T75" s="3" t="s">
        <v>38</v>
      </c>
      <c r="U75" s="5">
        <v>45273</v>
      </c>
    </row>
    <row r="76" spans="1:21" x14ac:dyDescent="0.2">
      <c r="A76" s="8" t="s">
        <v>283</v>
      </c>
      <c r="B76" s="2" t="s">
        <v>284</v>
      </c>
      <c r="C76" s="2" t="s">
        <v>285</v>
      </c>
      <c r="D76" s="15">
        <v>201903</v>
      </c>
      <c r="E76" s="15">
        <v>202504</v>
      </c>
      <c r="F76" s="15">
        <v>121.492</v>
      </c>
      <c r="G76" s="8" t="s">
        <v>30</v>
      </c>
      <c r="H76" s="2" t="s">
        <v>31</v>
      </c>
      <c r="I76" s="8" t="s">
        <v>30</v>
      </c>
      <c r="J76" s="8" t="s">
        <v>58</v>
      </c>
      <c r="K76" s="17" t="str">
        <f>VLOOKUP(Requête1[[#This Row],[CD_GRP_ABS]],dim_absences_grp!A:B,2,0)</f>
        <v>DIV</v>
      </c>
      <c r="L76" s="2" t="s">
        <v>59</v>
      </c>
      <c r="M76" s="8" t="s">
        <v>34</v>
      </c>
      <c r="N76" s="2" t="s">
        <v>35</v>
      </c>
      <c r="O76" s="8" t="s">
        <v>58</v>
      </c>
      <c r="P76" s="2" t="s">
        <v>59</v>
      </c>
      <c r="Q76" s="2" t="s">
        <v>285</v>
      </c>
      <c r="R76" s="8" t="s">
        <v>340</v>
      </c>
      <c r="S76" s="2" t="s">
        <v>37</v>
      </c>
      <c r="T76" s="2" t="s">
        <v>38</v>
      </c>
      <c r="U76" s="1">
        <v>45273</v>
      </c>
    </row>
    <row r="77" spans="1:21" s="4" customFormat="1" x14ac:dyDescent="0.2">
      <c r="A77" s="7" t="s">
        <v>286</v>
      </c>
      <c r="B77" s="3" t="s">
        <v>287</v>
      </c>
      <c r="C77" s="3" t="s">
        <v>288</v>
      </c>
      <c r="D77" s="14"/>
      <c r="E77" s="14"/>
      <c r="F77" s="14"/>
      <c r="G77" s="7" t="s">
        <v>30</v>
      </c>
      <c r="H77" s="3" t="s">
        <v>31</v>
      </c>
      <c r="I77" s="7" t="s">
        <v>30</v>
      </c>
      <c r="J77" s="7" t="s">
        <v>85</v>
      </c>
      <c r="K77" s="16" t="str">
        <f>VLOOKUP(Requête1[[#This Row],[CD_GRP_ABS]],dim_absences_grp!A:B,2,0)</f>
        <v>CBO</v>
      </c>
      <c r="L77" s="3" t="s">
        <v>86</v>
      </c>
      <c r="M77" s="7" t="s">
        <v>34</v>
      </c>
      <c r="N77" s="3" t="s">
        <v>35</v>
      </c>
      <c r="O77" s="7" t="s">
        <v>85</v>
      </c>
      <c r="P77" s="3" t="s">
        <v>86</v>
      </c>
      <c r="Q77" s="3" t="s">
        <v>289</v>
      </c>
      <c r="R77" s="7" t="s">
        <v>340</v>
      </c>
      <c r="S77" s="3" t="s">
        <v>37</v>
      </c>
      <c r="T77" s="3" t="s">
        <v>38</v>
      </c>
      <c r="U77" s="5">
        <v>45273</v>
      </c>
    </row>
    <row r="78" spans="1:21" x14ac:dyDescent="0.2">
      <c r="A78" s="8" t="s">
        <v>290</v>
      </c>
      <c r="B78" s="2" t="s">
        <v>291</v>
      </c>
      <c r="C78" s="2" t="s">
        <v>291</v>
      </c>
      <c r="D78" s="15">
        <v>201904</v>
      </c>
      <c r="E78" s="15">
        <v>201912</v>
      </c>
      <c r="F78" s="15">
        <v>0.65100000000000002</v>
      </c>
      <c r="G78" s="8" t="s">
        <v>30</v>
      </c>
      <c r="H78" s="2" t="s">
        <v>31</v>
      </c>
      <c r="I78" s="8" t="s">
        <v>30</v>
      </c>
      <c r="J78" s="8" t="s">
        <v>85</v>
      </c>
      <c r="K78" s="17" t="str">
        <f>VLOOKUP(Requête1[[#This Row],[CD_GRP_ABS]],dim_absences_grp!A:B,2,0)</f>
        <v>CBO</v>
      </c>
      <c r="L78" s="2" t="s">
        <v>86</v>
      </c>
      <c r="M78" s="8" t="s">
        <v>34</v>
      </c>
      <c r="N78" s="2" t="s">
        <v>35</v>
      </c>
      <c r="O78" s="8" t="s">
        <v>85</v>
      </c>
      <c r="P78" s="2" t="s">
        <v>86</v>
      </c>
      <c r="Q78" s="2" t="s">
        <v>100</v>
      </c>
      <c r="R78" s="8" t="s">
        <v>340</v>
      </c>
      <c r="S78" s="2" t="s">
        <v>37</v>
      </c>
      <c r="T78" s="2" t="s">
        <v>38</v>
      </c>
      <c r="U78" s="1">
        <v>45273</v>
      </c>
    </row>
    <row r="79" spans="1:21" x14ac:dyDescent="0.2">
      <c r="A79" s="8" t="s">
        <v>292</v>
      </c>
      <c r="B79" s="2" t="s">
        <v>293</v>
      </c>
      <c r="C79" s="2" t="s">
        <v>294</v>
      </c>
      <c r="D79" s="15">
        <v>202005</v>
      </c>
      <c r="E79" s="15">
        <v>202503</v>
      </c>
      <c r="F79" s="15">
        <v>0.26100000000000001</v>
      </c>
      <c r="G79" s="8" t="s">
        <v>30</v>
      </c>
      <c r="H79" s="2" t="s">
        <v>31</v>
      </c>
      <c r="I79" s="8" t="s">
        <v>24</v>
      </c>
      <c r="J79" s="8" t="s">
        <v>48</v>
      </c>
      <c r="K79" s="17" t="str">
        <f>VLOOKUP(Requête1[[#This Row],[CD_GRP_ABS]],dim_absences_grp!A:B,2,0)</f>
        <v>MAT</v>
      </c>
      <c r="L79" s="2" t="s">
        <v>219</v>
      </c>
      <c r="M79" s="8" t="s">
        <v>30</v>
      </c>
      <c r="N79" s="2" t="s">
        <v>31</v>
      </c>
      <c r="O79" s="8" t="s">
        <v>48</v>
      </c>
      <c r="P79" s="2" t="s">
        <v>219</v>
      </c>
      <c r="Q79" s="2" t="s">
        <v>259</v>
      </c>
      <c r="R79" s="8" t="s">
        <v>341</v>
      </c>
      <c r="S79" s="2" t="s">
        <v>47</v>
      </c>
      <c r="T79" s="2" t="s">
        <v>48</v>
      </c>
      <c r="U79" s="1">
        <v>45273</v>
      </c>
    </row>
    <row r="80" spans="1:21" s="4" customFormat="1" x14ac:dyDescent="0.2">
      <c r="A80" s="7" t="s">
        <v>295</v>
      </c>
      <c r="B80" s="3" t="s">
        <v>296</v>
      </c>
      <c r="C80" s="3" t="s">
        <v>297</v>
      </c>
      <c r="D80" s="14"/>
      <c r="E80" s="14"/>
      <c r="F80" s="14"/>
      <c r="G80" s="7" t="s">
        <v>30</v>
      </c>
      <c r="H80" s="3" t="s">
        <v>31</v>
      </c>
      <c r="I80" s="7" t="s">
        <v>30</v>
      </c>
      <c r="J80" s="7" t="s">
        <v>85</v>
      </c>
      <c r="K80" s="16" t="str">
        <f>VLOOKUP(Requête1[[#This Row],[CD_GRP_ABS]],dim_absences_grp!A:B,2,0)</f>
        <v>CBO</v>
      </c>
      <c r="L80" s="3" t="s">
        <v>86</v>
      </c>
      <c r="M80" s="7" t="s">
        <v>34</v>
      </c>
      <c r="N80" s="3" t="s">
        <v>35</v>
      </c>
      <c r="O80" s="7" t="s">
        <v>85</v>
      </c>
      <c r="P80" s="3" t="s">
        <v>86</v>
      </c>
      <c r="Q80" s="3" t="s">
        <v>289</v>
      </c>
      <c r="R80" s="7" t="s">
        <v>340</v>
      </c>
      <c r="S80" s="3" t="s">
        <v>37</v>
      </c>
      <c r="T80" s="3" t="s">
        <v>38</v>
      </c>
      <c r="U80" s="5">
        <v>45273</v>
      </c>
    </row>
    <row r="81" spans="1:21" s="4" customFormat="1" x14ac:dyDescent="0.2">
      <c r="A81" s="7" t="s">
        <v>298</v>
      </c>
      <c r="B81" s="3" t="s">
        <v>299</v>
      </c>
      <c r="C81" s="3" t="s">
        <v>299</v>
      </c>
      <c r="D81" s="14"/>
      <c r="E81" s="14"/>
      <c r="F81" s="14"/>
      <c r="G81" s="7" t="s">
        <v>30</v>
      </c>
      <c r="H81" s="3" t="s">
        <v>31</v>
      </c>
      <c r="I81" s="7" t="s">
        <v>30</v>
      </c>
      <c r="J81" s="7" t="s">
        <v>85</v>
      </c>
      <c r="K81" s="16" t="str">
        <f>VLOOKUP(Requête1[[#This Row],[CD_GRP_ABS]],dim_absences_grp!A:B,2,0)</f>
        <v>CBO</v>
      </c>
      <c r="L81" s="3" t="s">
        <v>86</v>
      </c>
      <c r="M81" s="7" t="s">
        <v>34</v>
      </c>
      <c r="N81" s="3" t="s">
        <v>35</v>
      </c>
      <c r="O81" s="7" t="s">
        <v>85</v>
      </c>
      <c r="P81" s="3" t="s">
        <v>86</v>
      </c>
      <c r="Q81" s="3" t="s">
        <v>100</v>
      </c>
      <c r="R81" s="7" t="s">
        <v>340</v>
      </c>
      <c r="S81" s="3" t="s">
        <v>37</v>
      </c>
      <c r="T81" s="3" t="s">
        <v>38</v>
      </c>
      <c r="U81" s="5">
        <v>45273</v>
      </c>
    </row>
    <row r="82" spans="1:21" s="4" customFormat="1" x14ac:dyDescent="0.2">
      <c r="A82" s="7" t="s">
        <v>300</v>
      </c>
      <c r="B82" s="3" t="s">
        <v>301</v>
      </c>
      <c r="C82" s="3" t="s">
        <v>301</v>
      </c>
      <c r="D82" s="14"/>
      <c r="E82" s="14"/>
      <c r="F82" s="14"/>
      <c r="G82" s="7" t="s">
        <v>30</v>
      </c>
      <c r="H82" s="3" t="s">
        <v>31</v>
      </c>
      <c r="I82" s="7" t="s">
        <v>30</v>
      </c>
      <c r="J82" s="7" t="s">
        <v>85</v>
      </c>
      <c r="K82" s="16" t="str">
        <f>VLOOKUP(Requête1[[#This Row],[CD_GRP_ABS]],dim_absences_grp!A:B,2,0)</f>
        <v>CBO</v>
      </c>
      <c r="L82" s="3" t="s">
        <v>86</v>
      </c>
      <c r="M82" s="7" t="s">
        <v>34</v>
      </c>
      <c r="N82" s="3" t="s">
        <v>35</v>
      </c>
      <c r="O82" s="7" t="s">
        <v>85</v>
      </c>
      <c r="P82" s="3" t="s">
        <v>86</v>
      </c>
      <c r="Q82" s="3" t="s">
        <v>100</v>
      </c>
      <c r="R82" s="7" t="s">
        <v>340</v>
      </c>
      <c r="S82" s="3" t="s">
        <v>37</v>
      </c>
      <c r="T82" s="3" t="s">
        <v>38</v>
      </c>
      <c r="U82" s="5">
        <v>45273</v>
      </c>
    </row>
    <row r="83" spans="1:21" s="4" customFormat="1" x14ac:dyDescent="0.2">
      <c r="A83" s="7" t="s">
        <v>302</v>
      </c>
      <c r="B83" s="3" t="s">
        <v>303</v>
      </c>
      <c r="C83" s="3" t="s">
        <v>303</v>
      </c>
      <c r="D83" s="14"/>
      <c r="E83" s="14"/>
      <c r="F83" s="14"/>
      <c r="G83" s="7" t="s">
        <v>30</v>
      </c>
      <c r="H83" s="3" t="s">
        <v>31</v>
      </c>
      <c r="I83" s="7" t="s">
        <v>30</v>
      </c>
      <c r="J83" s="7" t="s">
        <v>85</v>
      </c>
      <c r="K83" s="16" t="str">
        <f>VLOOKUP(Requête1[[#This Row],[CD_GRP_ABS]],dim_absences_grp!A:B,2,0)</f>
        <v>CBO</v>
      </c>
      <c r="L83" s="3" t="s">
        <v>86</v>
      </c>
      <c r="M83" s="7" t="s">
        <v>34</v>
      </c>
      <c r="N83" s="3" t="s">
        <v>35</v>
      </c>
      <c r="O83" s="7" t="s">
        <v>85</v>
      </c>
      <c r="P83" s="3" t="s">
        <v>86</v>
      </c>
      <c r="Q83" s="3" t="s">
        <v>100</v>
      </c>
      <c r="R83" s="7" t="s">
        <v>340</v>
      </c>
      <c r="S83" s="3" t="s">
        <v>37</v>
      </c>
      <c r="T83" s="3" t="s">
        <v>38</v>
      </c>
      <c r="U83" s="5">
        <v>45273</v>
      </c>
    </row>
    <row r="84" spans="1:21" s="4" customFormat="1" x14ac:dyDescent="0.2">
      <c r="A84" s="7" t="s">
        <v>304</v>
      </c>
      <c r="B84" s="3" t="s">
        <v>305</v>
      </c>
      <c r="C84" s="3" t="s">
        <v>306</v>
      </c>
      <c r="D84" s="14"/>
      <c r="E84" s="14"/>
      <c r="F84" s="14"/>
      <c r="G84" s="7" t="s">
        <v>30</v>
      </c>
      <c r="H84" s="3" t="s">
        <v>31</v>
      </c>
      <c r="I84" s="7" t="s">
        <v>30</v>
      </c>
      <c r="J84" s="7" t="s">
        <v>85</v>
      </c>
      <c r="K84" s="16" t="str">
        <f>VLOOKUP(Requête1[[#This Row],[CD_GRP_ABS]],dim_absences_grp!A:B,2,0)</f>
        <v>CBO</v>
      </c>
      <c r="L84" s="3" t="s">
        <v>86</v>
      </c>
      <c r="M84" s="7" t="s">
        <v>34</v>
      </c>
      <c r="N84" s="3" t="s">
        <v>35</v>
      </c>
      <c r="O84" s="7" t="s">
        <v>85</v>
      </c>
      <c r="P84" s="3" t="s">
        <v>86</v>
      </c>
      <c r="Q84" s="3" t="s">
        <v>100</v>
      </c>
      <c r="R84" s="7" t="s">
        <v>340</v>
      </c>
      <c r="S84" s="3" t="s">
        <v>37</v>
      </c>
      <c r="T84" s="3" t="s">
        <v>38</v>
      </c>
      <c r="U84" s="5">
        <v>45273</v>
      </c>
    </row>
    <row r="85" spans="1:21" x14ac:dyDescent="0.2">
      <c r="A85" s="8" t="s">
        <v>307</v>
      </c>
      <c r="B85" s="2" t="s">
        <v>308</v>
      </c>
      <c r="C85" s="2" t="s">
        <v>309</v>
      </c>
      <c r="D85" s="15">
        <v>201901</v>
      </c>
      <c r="E85" s="15">
        <v>202506</v>
      </c>
      <c r="F85" s="15">
        <v>1229.752</v>
      </c>
      <c r="G85" s="8" t="s">
        <v>30</v>
      </c>
      <c r="H85" s="2" t="s">
        <v>31</v>
      </c>
      <c r="I85" s="8" t="s">
        <v>30</v>
      </c>
      <c r="J85" s="8" t="s">
        <v>144</v>
      </c>
      <c r="K85" s="17" t="str">
        <f>VLOOKUP(Requête1[[#This Row],[CD_GRP_ABS]],dim_absences_grp!A:B,2,0)</f>
        <v>SUS</v>
      </c>
      <c r="L85" s="2" t="s">
        <v>145</v>
      </c>
      <c r="M85" s="8" t="s">
        <v>34</v>
      </c>
      <c r="N85" s="2" t="s">
        <v>35</v>
      </c>
      <c r="O85" s="8" t="s">
        <v>144</v>
      </c>
      <c r="P85" s="2" t="s">
        <v>145</v>
      </c>
      <c r="Q85" s="2" t="s">
        <v>310</v>
      </c>
      <c r="R85" s="8" t="s">
        <v>340</v>
      </c>
      <c r="S85" s="2" t="s">
        <v>37</v>
      </c>
      <c r="T85" s="2" t="s">
        <v>38</v>
      </c>
      <c r="U85" s="1">
        <v>45273</v>
      </c>
    </row>
    <row r="86" spans="1:21" s="4" customFormat="1" x14ac:dyDescent="0.2">
      <c r="A86" s="7" t="s">
        <v>311</v>
      </c>
      <c r="B86" s="3" t="s">
        <v>312</v>
      </c>
      <c r="C86" s="3" t="s">
        <v>313</v>
      </c>
      <c r="D86" s="14"/>
      <c r="E86" s="14"/>
      <c r="F86" s="14"/>
      <c r="G86" s="7" t="s">
        <v>30</v>
      </c>
      <c r="H86" s="3" t="s">
        <v>31</v>
      </c>
      <c r="I86" s="7" t="s">
        <v>30</v>
      </c>
      <c r="J86" s="7" t="s">
        <v>144</v>
      </c>
      <c r="K86" s="16" t="str">
        <f>VLOOKUP(Requête1[[#This Row],[CD_GRP_ABS]],dim_absences_grp!A:B,2,0)</f>
        <v>SUS</v>
      </c>
      <c r="L86" s="3" t="s">
        <v>145</v>
      </c>
      <c r="M86" s="7" t="s">
        <v>34</v>
      </c>
      <c r="N86" s="3" t="s">
        <v>35</v>
      </c>
      <c r="O86" s="7" t="s">
        <v>144</v>
      </c>
      <c r="P86" s="3" t="s">
        <v>145</v>
      </c>
      <c r="Q86" s="3" t="s">
        <v>310</v>
      </c>
      <c r="R86" s="7" t="s">
        <v>340</v>
      </c>
      <c r="S86" s="3" t="s">
        <v>37</v>
      </c>
      <c r="T86" s="3" t="s">
        <v>38</v>
      </c>
      <c r="U86" s="5">
        <v>45273</v>
      </c>
    </row>
    <row r="87" spans="1:21" s="4" customFormat="1" x14ac:dyDescent="0.2">
      <c r="A87" s="7" t="s">
        <v>314</v>
      </c>
      <c r="B87" s="3" t="s">
        <v>315</v>
      </c>
      <c r="C87" s="3" t="s">
        <v>316</v>
      </c>
      <c r="D87" s="14"/>
      <c r="E87" s="14"/>
      <c r="F87" s="14"/>
      <c r="G87" s="7" t="s">
        <v>30</v>
      </c>
      <c r="H87" s="3" t="s">
        <v>31</v>
      </c>
      <c r="I87" s="7" t="s">
        <v>30</v>
      </c>
      <c r="J87" s="7" t="s">
        <v>52</v>
      </c>
      <c r="K87" s="16" t="str">
        <f>VLOOKUP(Requête1[[#This Row],[CD_GRP_ABS]],dim_absences_grp!A:B,2,0)</f>
        <v>AIR</v>
      </c>
      <c r="L87" s="3" t="s">
        <v>55</v>
      </c>
      <c r="M87" s="7" t="s">
        <v>34</v>
      </c>
      <c r="N87" s="3" t="s">
        <v>35</v>
      </c>
      <c r="O87" s="7" t="s">
        <v>52</v>
      </c>
      <c r="P87" s="3" t="s">
        <v>55</v>
      </c>
      <c r="Q87" s="3" t="s">
        <v>54</v>
      </c>
      <c r="R87" s="7" t="s">
        <v>340</v>
      </c>
      <c r="S87" s="3" t="s">
        <v>37</v>
      </c>
      <c r="T87" s="3" t="s">
        <v>38</v>
      </c>
      <c r="U87" s="5">
        <v>45273</v>
      </c>
    </row>
    <row r="88" spans="1:21" x14ac:dyDescent="0.2">
      <c r="A88" s="8" t="s">
        <v>317</v>
      </c>
      <c r="B88" s="2" t="s">
        <v>318</v>
      </c>
      <c r="C88" s="2" t="s">
        <v>319</v>
      </c>
      <c r="D88" s="15">
        <v>202101</v>
      </c>
      <c r="E88" s="15">
        <v>202208</v>
      </c>
      <c r="F88" s="15">
        <v>15.964</v>
      </c>
      <c r="G88" s="8" t="s">
        <v>30</v>
      </c>
      <c r="H88" s="2" t="s">
        <v>31</v>
      </c>
      <c r="I88" s="8" t="s">
        <v>30</v>
      </c>
      <c r="J88" s="8" t="s">
        <v>42</v>
      </c>
      <c r="K88" s="17" t="str">
        <f>VLOOKUP(Requête1[[#This Row],[CD_GRP_ABS]],dim_absences_grp!A:B,2,0)</f>
        <v>CMF</v>
      </c>
      <c r="L88" s="2" t="s">
        <v>43</v>
      </c>
      <c r="M88" s="8" t="s">
        <v>34</v>
      </c>
      <c r="N88" s="2" t="s">
        <v>35</v>
      </c>
      <c r="O88" s="8" t="s">
        <v>42</v>
      </c>
      <c r="P88" s="2" t="s">
        <v>43</v>
      </c>
      <c r="Q88" s="2" t="s">
        <v>319</v>
      </c>
      <c r="R88" s="8" t="s">
        <v>340</v>
      </c>
      <c r="S88" s="2" t="s">
        <v>37</v>
      </c>
      <c r="T88" s="2" t="s">
        <v>38</v>
      </c>
      <c r="U88" s="1">
        <v>45273</v>
      </c>
    </row>
    <row r="89" spans="1:21" x14ac:dyDescent="0.2">
      <c r="A89" s="8" t="s">
        <v>320</v>
      </c>
      <c r="B89" s="2" t="s">
        <v>321</v>
      </c>
      <c r="C89" s="2" t="s">
        <v>322</v>
      </c>
      <c r="D89" s="15">
        <v>201902</v>
      </c>
      <c r="E89" s="15">
        <v>202501</v>
      </c>
      <c r="F89" s="15">
        <v>28.669</v>
      </c>
      <c r="G89" s="8" t="s">
        <v>30</v>
      </c>
      <c r="H89" s="2" t="s">
        <v>31</v>
      </c>
      <c r="I89" s="8" t="s">
        <v>30</v>
      </c>
      <c r="J89" s="8" t="s">
        <v>144</v>
      </c>
      <c r="K89" s="17" t="str">
        <f>VLOOKUP(Requête1[[#This Row],[CD_GRP_ABS]],dim_absences_grp!A:B,2,0)</f>
        <v>SUS</v>
      </c>
      <c r="L89" s="2" t="s">
        <v>145</v>
      </c>
      <c r="M89" s="8" t="s">
        <v>34</v>
      </c>
      <c r="N89" s="2" t="s">
        <v>35</v>
      </c>
      <c r="O89" s="8" t="s">
        <v>144</v>
      </c>
      <c r="P89" s="2" t="s">
        <v>145</v>
      </c>
      <c r="Q89" s="2" t="s">
        <v>310</v>
      </c>
      <c r="R89" s="8" t="s">
        <v>340</v>
      </c>
      <c r="S89" s="2" t="s">
        <v>37</v>
      </c>
      <c r="T89" s="2" t="s">
        <v>38</v>
      </c>
      <c r="U89" s="1">
        <v>45273</v>
      </c>
    </row>
    <row r="90" spans="1:21" x14ac:dyDescent="0.2">
      <c r="A90" s="8" t="s">
        <v>323</v>
      </c>
      <c r="B90" s="2" t="s">
        <v>324</v>
      </c>
      <c r="C90" s="2" t="s">
        <v>325</v>
      </c>
      <c r="D90" s="15">
        <v>201901</v>
      </c>
      <c r="E90" s="15">
        <v>202506</v>
      </c>
      <c r="F90" s="15">
        <v>188.75899999999999</v>
      </c>
      <c r="G90" s="8" t="s">
        <v>30</v>
      </c>
      <c r="H90" s="2" t="s">
        <v>31</v>
      </c>
      <c r="I90" s="8" t="s">
        <v>30</v>
      </c>
      <c r="J90" s="8" t="s">
        <v>144</v>
      </c>
      <c r="K90" s="17" t="str">
        <f>VLOOKUP(Requête1[[#This Row],[CD_GRP_ABS]],dim_absences_grp!A:B,2,0)</f>
        <v>SUS</v>
      </c>
      <c r="L90" s="2" t="s">
        <v>145</v>
      </c>
      <c r="M90" s="8" t="s">
        <v>34</v>
      </c>
      <c r="N90" s="2" t="s">
        <v>35</v>
      </c>
      <c r="O90" s="8" t="s">
        <v>144</v>
      </c>
      <c r="P90" s="2" t="s">
        <v>145</v>
      </c>
      <c r="Q90" s="2" t="s">
        <v>310</v>
      </c>
      <c r="R90" s="8" t="s">
        <v>340</v>
      </c>
      <c r="S90" s="2" t="s">
        <v>37</v>
      </c>
      <c r="T90" s="2" t="s">
        <v>38</v>
      </c>
      <c r="U90" s="1">
        <v>45273</v>
      </c>
    </row>
    <row r="91" spans="1:21" x14ac:dyDescent="0.2">
      <c r="A91" s="8" t="s">
        <v>326</v>
      </c>
      <c r="B91" s="2" t="s">
        <v>327</v>
      </c>
      <c r="C91" s="2" t="s">
        <v>327</v>
      </c>
      <c r="D91" s="15">
        <v>202109</v>
      </c>
      <c r="E91" s="15">
        <v>202506</v>
      </c>
      <c r="F91" s="15">
        <v>5144.87</v>
      </c>
      <c r="G91" s="8" t="s">
        <v>30</v>
      </c>
      <c r="H91" s="2" t="s">
        <v>31</v>
      </c>
      <c r="I91" s="8" t="s">
        <v>30</v>
      </c>
      <c r="J91" s="8" t="s">
        <v>144</v>
      </c>
      <c r="K91" s="17" t="str">
        <f>VLOOKUP(Requête1[[#This Row],[CD_GRP_ABS]],dim_absences_grp!A:B,2,0)</f>
        <v>SUS</v>
      </c>
      <c r="L91" s="2" t="s">
        <v>145</v>
      </c>
      <c r="M91" s="8" t="s">
        <v>34</v>
      </c>
      <c r="N91" s="2" t="s">
        <v>35</v>
      </c>
      <c r="O91" s="8" t="s">
        <v>144</v>
      </c>
      <c r="P91" s="2" t="s">
        <v>145</v>
      </c>
      <c r="Q91" s="2" t="s">
        <v>310</v>
      </c>
      <c r="R91" s="8" t="s">
        <v>340</v>
      </c>
      <c r="S91" s="2" t="s">
        <v>37</v>
      </c>
      <c r="T91" s="2" t="s">
        <v>38</v>
      </c>
      <c r="U91" s="1">
        <v>45273</v>
      </c>
    </row>
    <row r="92" spans="1:21" x14ac:dyDescent="0.2">
      <c r="A92" s="8" t="s">
        <v>328</v>
      </c>
      <c r="B92" s="2" t="s">
        <v>154</v>
      </c>
      <c r="C92" s="2" t="s">
        <v>329</v>
      </c>
      <c r="D92" s="15">
        <v>202103</v>
      </c>
      <c r="E92" s="15">
        <v>202406</v>
      </c>
      <c r="F92" s="15">
        <v>1.079</v>
      </c>
      <c r="G92" s="8" t="s">
        <v>30</v>
      </c>
      <c r="H92" s="2" t="s">
        <v>31</v>
      </c>
      <c r="I92" s="8" t="s">
        <v>30</v>
      </c>
      <c r="J92" s="8" t="s">
        <v>152</v>
      </c>
      <c r="K92" s="17" t="str">
        <f>VLOOKUP(Requête1[[#This Row],[CD_GRP_ABS]],dim_absences_grp!A:B,2,0)</f>
        <v>SYN</v>
      </c>
      <c r="L92" s="2" t="s">
        <v>153</v>
      </c>
      <c r="M92" s="8" t="s">
        <v>34</v>
      </c>
      <c r="N92" s="2" t="s">
        <v>35</v>
      </c>
      <c r="O92" s="8" t="s">
        <v>152</v>
      </c>
      <c r="P92" s="2" t="s">
        <v>153</v>
      </c>
      <c r="Q92" s="2" t="s">
        <v>154</v>
      </c>
      <c r="R92" s="8" t="s">
        <v>340</v>
      </c>
      <c r="S92" s="2" t="s">
        <v>37</v>
      </c>
      <c r="T92" s="2" t="s">
        <v>38</v>
      </c>
      <c r="U92" s="1">
        <v>45273</v>
      </c>
    </row>
    <row r="93" spans="1:21" s="4" customFormat="1" x14ac:dyDescent="0.2">
      <c r="A93" s="7" t="s">
        <v>330</v>
      </c>
      <c r="B93" s="3" t="s">
        <v>331</v>
      </c>
      <c r="C93" s="3" t="s">
        <v>332</v>
      </c>
      <c r="D93" s="14"/>
      <c r="E93" s="14"/>
      <c r="F93" s="14"/>
      <c r="G93" s="7" t="s">
        <v>30</v>
      </c>
      <c r="H93" s="3" t="s">
        <v>31</v>
      </c>
      <c r="I93" s="7" t="s">
        <v>30</v>
      </c>
      <c r="J93" s="7" t="s">
        <v>85</v>
      </c>
      <c r="K93" s="16" t="str">
        <f>VLOOKUP(Requête1[[#This Row],[CD_GRP_ABS]],dim_absences_grp!A:B,2,0)</f>
        <v>CBO</v>
      </c>
      <c r="L93" s="3" t="s">
        <v>86</v>
      </c>
      <c r="M93" s="7" t="s">
        <v>34</v>
      </c>
      <c r="N93" s="3" t="s">
        <v>35</v>
      </c>
      <c r="O93" s="7" t="s">
        <v>85</v>
      </c>
      <c r="P93" s="3" t="s">
        <v>86</v>
      </c>
      <c r="Q93" s="3" t="s">
        <v>289</v>
      </c>
      <c r="R93" s="7" t="s">
        <v>340</v>
      </c>
      <c r="S93" s="3" t="s">
        <v>37</v>
      </c>
      <c r="T93" s="3" t="s">
        <v>38</v>
      </c>
      <c r="U93" s="5">
        <v>45273</v>
      </c>
    </row>
    <row r="94" spans="1:21" x14ac:dyDescent="0.2">
      <c r="A94" s="8" t="s">
        <v>333</v>
      </c>
      <c r="B94" s="2" t="s">
        <v>334</v>
      </c>
      <c r="C94" s="2" t="s">
        <v>335</v>
      </c>
      <c r="D94" s="15">
        <v>202205</v>
      </c>
      <c r="E94" s="15">
        <v>202506</v>
      </c>
      <c r="F94" s="15">
        <v>3048.4229999999998</v>
      </c>
      <c r="G94" s="8" t="s">
        <v>22</v>
      </c>
      <c r="H94" s="2" t="s">
        <v>23</v>
      </c>
      <c r="I94" s="8" t="s">
        <v>24</v>
      </c>
      <c r="J94" s="8" t="s">
        <v>25</v>
      </c>
      <c r="K94" s="17" t="str">
        <f>VLOOKUP(Requête1[[#This Row],[CD_GRP_ABS]],dim_absences_grp!A:B,2,0)</f>
        <v>MAL</v>
      </c>
      <c r="L94" s="2" t="s">
        <v>26</v>
      </c>
      <c r="M94" s="8" t="s">
        <v>22</v>
      </c>
      <c r="N94" s="2" t="s">
        <v>23</v>
      </c>
      <c r="O94" s="8" t="s">
        <v>25</v>
      </c>
      <c r="P94" s="2" t="s">
        <v>26</v>
      </c>
      <c r="Q94" s="2" t="s">
        <v>335</v>
      </c>
      <c r="R94" s="8" t="s">
        <v>339</v>
      </c>
      <c r="S94" s="2" t="s">
        <v>27</v>
      </c>
      <c r="T94" s="2" t="s">
        <v>25</v>
      </c>
      <c r="U94" s="1">
        <v>45635</v>
      </c>
    </row>
    <row r="95" spans="1:21" s="4" customFormat="1" x14ac:dyDescent="0.2">
      <c r="A95" s="7" t="s">
        <v>336</v>
      </c>
      <c r="B95" s="3" t="s">
        <v>337</v>
      </c>
      <c r="C95" s="3" t="s">
        <v>337</v>
      </c>
      <c r="G95" s="7" t="s">
        <v>30</v>
      </c>
      <c r="H95" s="3" t="s">
        <v>31</v>
      </c>
      <c r="I95" s="7" t="s">
        <v>30</v>
      </c>
      <c r="J95" s="7" t="s">
        <v>58</v>
      </c>
      <c r="K95" s="16" t="str">
        <f>VLOOKUP(Requête1[[#This Row],[CD_GRP_ABS]],dim_absences_grp!A:B,2,0)</f>
        <v>DIV</v>
      </c>
      <c r="L95" s="3" t="s">
        <v>59</v>
      </c>
      <c r="M95" s="7" t="s">
        <v>34</v>
      </c>
      <c r="N95" s="3" t="s">
        <v>35</v>
      </c>
      <c r="O95" s="7" t="s">
        <v>58</v>
      </c>
      <c r="P95" s="3" t="s">
        <v>59</v>
      </c>
      <c r="Q95" s="3" t="s">
        <v>259</v>
      </c>
      <c r="R95" s="7" t="s">
        <v>340</v>
      </c>
      <c r="S95" s="3" t="s">
        <v>37</v>
      </c>
      <c r="T95" s="3" t="s">
        <v>38</v>
      </c>
      <c r="U95" s="5">
        <v>45273</v>
      </c>
    </row>
  </sheetData>
  <pageMargins left="0.7" right="0.7" top="0.75" bottom="0.75" header="0.3" footer="0.3"/>
  <headerFooter>
    <oddFooter>&amp;C_x000D_&amp;1#&amp;"Calibri"&amp;10&amp;K000000 C1 - Interne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41EA12-BB25-4F49-A8FA-E53C57E9D8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dim_absences_grp</vt:lpstr>
      <vt:lpstr>dim_absences</vt:lpstr>
    </vt:vector>
  </TitlesOfParts>
  <Company>APHP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GUILLOTEAU Alban</dc:creator>
  <cp:lastModifiedBy> </cp:lastModifiedBy>
  <dcterms:created xsi:type="dcterms:W3CDTF">2025-06-19T08:46:13Z</dcterms:created>
  <dcterms:modified xsi:type="dcterms:W3CDTF">2025-06-19T10:39:23Z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1d6119-873b-4397-8a13-8f0b0381b9bf_Enabled">
    <vt:lpwstr>true</vt:lpwstr>
  </property>
  <property fmtid="{D5CDD505-2E9C-101B-9397-08002B2CF9AE}" pid="3" name="MSIP_Label_591d6119-873b-4397-8a13-8f0b0381b9bf_SetDate">
    <vt:lpwstr>2025-06-19T10:38:33Z</vt:lpwstr>
  </property>
  <property fmtid="{D5CDD505-2E9C-101B-9397-08002B2CF9AE}" pid="4" name="MSIP_Label_591d6119-873b-4397-8a13-8f0b0381b9bf_Method">
    <vt:lpwstr>Standard</vt:lpwstr>
  </property>
  <property fmtid="{D5CDD505-2E9C-101B-9397-08002B2CF9AE}" pid="5" name="MSIP_Label_591d6119-873b-4397-8a13-8f0b0381b9bf_Name">
    <vt:lpwstr>C1 - Interne</vt:lpwstr>
  </property>
  <property fmtid="{D5CDD505-2E9C-101B-9397-08002B2CF9AE}" pid="6" name="MSIP_Label_591d6119-873b-4397-8a13-8f0b0381b9bf_SiteId">
    <vt:lpwstr>905eea10-a76c-4815-8160-ba433c63cfd5</vt:lpwstr>
  </property>
  <property fmtid="{D5CDD505-2E9C-101B-9397-08002B2CF9AE}" pid="7" name="MSIP_Label_591d6119-873b-4397-8a13-8f0b0381b9bf_ActionId">
    <vt:lpwstr>0ff325b5-7e84-45ed-b19c-e44cdbf29355</vt:lpwstr>
  </property>
  <property fmtid="{D5CDD505-2E9C-101B-9397-08002B2CF9AE}" pid="8" name="MSIP_Label_591d6119-873b-4397-8a13-8f0b0381b9bf_ContentBits">
    <vt:lpwstr>2</vt:lpwstr>
  </property>
  <property fmtid="{D5CDD505-2E9C-101B-9397-08002B2CF9AE}" pid="9" name="MSIP_Label_591d6119-873b-4397-8a13-8f0b0381b9bf_Tag">
    <vt:lpwstr>10, 3, 0, 1</vt:lpwstr>
  </property>
</Properties>
</file>